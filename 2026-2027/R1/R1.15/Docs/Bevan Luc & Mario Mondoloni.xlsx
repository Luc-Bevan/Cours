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ning" sheetId="1" state="visible" r:id="rId3"/>
    <sheet name="Risques" sheetId="2" state="visible" r:id="rId4"/>
    <sheet name="Tableau de bord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<sst xmlns="http://schemas.openxmlformats.org/spreadsheetml/2006/main" count="148" uniqueCount="104">
  <si>
    <t xml:space="preserve">RT1 — TP1 · Planning opérationnel de la journée découverte R&amp;T</t>
  </si>
  <si>
    <t xml:space="preserve">Complétez les cellules jaunes. Les colonnes calculées et le mini-Gantt se mettent à jour automatiquement.</t>
  </si>
  <si>
    <t xml:space="preserve">ID</t>
  </si>
  <si>
    <t xml:space="preserve">Lot</t>
  </si>
  <si>
    <t xml:space="preserve">Tâche</t>
  </si>
  <si>
    <t xml:space="preserve">Responsable</t>
  </si>
  <si>
    <t xml:space="preserve">Durée (j)</t>
  </si>
  <si>
    <t xml:space="preserve">Prédécesseur</t>
  </si>
  <si>
    <t xml:space="preserve">Statut</t>
  </si>
  <si>
    <t xml:space="preserve">Avancement</t>
  </si>
  <si>
    <t xml:space="preserve">Début (jour)</t>
  </si>
  <si>
    <t xml:space="preserve">Fin (jour)</t>
  </si>
  <si>
    <t xml:space="preserve">Commentaire</t>
  </si>
  <si>
    <t xml:space="preserve">1.1</t>
  </si>
  <si>
    <t xml:space="preserve">Cadrage</t>
  </si>
  <si>
    <t xml:space="preserve">Valider l’objectif et la date</t>
  </si>
  <si>
    <t xml:space="preserve">Mario </t>
  </si>
  <si>
    <t xml:space="preserve">X</t>
  </si>
  <si>
    <t xml:space="preserve">Terminé</t>
  </si>
  <si>
    <t xml:space="preserve">1.2</t>
  </si>
  <si>
    <t xml:space="preserve">Confirmer les lycées participants</t>
  </si>
  <si>
    <t xml:space="preserve">4.1</t>
  </si>
  <si>
    <t xml:space="preserve">En cours</t>
  </si>
  <si>
    <t xml:space="preserve">2.1</t>
  </si>
  <si>
    <t xml:space="preserve">Logistique</t>
  </si>
  <si>
    <t xml:space="preserve">Réserver les salles</t>
  </si>
  <si>
    <t xml:space="preserve">Tony</t>
  </si>
  <si>
    <t xml:space="preserve">2.2</t>
  </si>
  <si>
    <t xml:space="preserve">Bloqué</t>
  </si>
  <si>
    <t xml:space="preserve">Définir les groupes et les rotations</t>
  </si>
  <si>
    <t xml:space="preserve">2.3</t>
  </si>
  <si>
    <t xml:space="preserve">Prévoir l’accueil et la restauration</t>
  </si>
  <si>
    <t xml:space="preserve">3.1</t>
  </si>
  <si>
    <t xml:space="preserve">Ateliers</t>
  </si>
  <si>
    <t xml:space="preserve">Choisir les ateliers techniques</t>
  </si>
  <si>
    <t xml:space="preserve">Luc</t>
  </si>
  <si>
    <t xml:space="preserve">3.2</t>
  </si>
  <si>
    <t xml:space="preserve">Préparer les supports et consignes</t>
  </si>
  <si>
    <t xml:space="preserve">3.3</t>
  </si>
  <si>
    <t xml:space="preserve">Installer et tester le matériel</t>
  </si>
  <si>
    <t xml:space="preserve">Communication</t>
  </si>
  <si>
    <t xml:space="preserve">Envoyer les invitations</t>
  </si>
  <si>
    <t xml:space="preserve">4.2</t>
  </si>
  <si>
    <t xml:space="preserve">Préparer le message de rappel</t>
  </si>
  <si>
    <t xml:space="preserve">5.1</t>
  </si>
  <si>
    <t xml:space="preserve">Réalisation</t>
  </si>
  <si>
    <t xml:space="preserve">Accueillir et animer la journée</t>
  </si>
  <si>
    <t xml:space="preserve">Luc, Tony</t>
  </si>
  <si>
    <t xml:space="preserve">5.2</t>
  </si>
  <si>
    <t xml:space="preserve">Clôture</t>
  </si>
  <si>
    <t xml:space="preserve">Recueillir les avis et faire le bilan</t>
  </si>
  <si>
    <t xml:space="preserve">Consigne imprévu : la salle principale devient indisponible au jour 24. Modifiez le planning sans décaler la journée.</t>
  </si>
  <si>
    <t xml:space="preserve">RT1 — TP1 · Registre des risques</t>
  </si>
  <si>
    <t xml:space="preserve">Évaluez les risques, choisissez une réponse et nommez un responsable.</t>
  </si>
  <si>
    <t xml:space="preserve">Risque</t>
  </si>
  <si>
    <t xml:space="preserve">Probabilité</t>
  </si>
  <si>
    <t xml:space="preserve">Impact</t>
  </si>
  <si>
    <t xml:space="preserve">Score</t>
  </si>
  <si>
    <t xml:space="preserve">Prévention</t>
  </si>
  <si>
    <t xml:space="preserve">Plan B</t>
  </si>
  <si>
    <t xml:space="preserve">Salle indisponible</t>
  </si>
  <si>
    <t xml:space="preserve">Réserver deux salles</t>
  </si>
  <si>
    <t xml:space="preserve">aller à l’autre salle</t>
  </si>
  <si>
    <t xml:space="preserve">Ouvert</t>
  </si>
  <si>
    <t xml:space="preserve">Matériel en panne</t>
  </si>
  <si>
    <t xml:space="preserve">Prévoir un matériel d’urgence pour le plus indispensable, et faire venir un tech.au préalable.</t>
  </si>
  <si>
    <t xml:space="preserve">prendre le matos d’urgence</t>
  </si>
  <si>
    <t xml:space="preserve">Animateur absent</t>
  </si>
  <si>
    <t xml:space="preserve">avoir un animateur alternatif en capacité de remplacer l’ancien, en gros faire des binômes</t>
  </si>
  <si>
    <t xml:space="preserve">prendre l’autre animateur</t>
  </si>
  <si>
    <t xml:space="preserve">Mario, Luc</t>
  </si>
  <si>
    <t xml:space="preserve">Retard d’un groupe</t>
  </si>
  <si>
    <t xml:space="preserve">prévoir plus de temps à l’accueil ou entre les ateliers</t>
  </si>
  <si>
    <t xml:space="preserve">on les attend</t>
  </si>
  <si>
    <t xml:space="preserve">Effectif supérieur</t>
  </si>
  <si>
    <t xml:space="preserve">Prévoir plus que l’effectif donnée ( pareil pour la restauration )</t>
  </si>
  <si>
    <t xml:space="preserve">donner ce qu’on à prévu en plus</t>
  </si>
  <si>
    <t xml:space="preserve">Mario</t>
  </si>
  <si>
    <t xml:space="preserve">Problème de restauration</t>
  </si>
  <si>
    <t xml:space="preserve">prévoir, plus, et le jour d’avant, prévoir une autre affiliation si jamais.</t>
  </si>
  <si>
    <t xml:space="preserve">prendre le surplus ou se rattacher à l’autre affiliation</t>
  </si>
  <si>
    <t xml:space="preserve">Échelle : 1 faible · 2 modéré · 3 fort · 4 critique. Score 9 à 16 = priorité.</t>
  </si>
  <si>
    <t xml:space="preserve">RT1 — TP1 · Tableau de bord</t>
  </si>
  <si>
    <t xml:space="preserve">Indicateur</t>
  </si>
  <si>
    <t xml:space="preserve">Valeur</t>
  </si>
  <si>
    <t xml:space="preserve">Statut projet</t>
  </si>
  <si>
    <t xml:space="preserve">Critère</t>
  </si>
  <si>
    <t xml:space="preserve">Décision / action</t>
  </si>
  <si>
    <t xml:space="preserve">Nombre de tâches</t>
  </si>
  <si>
    <t xml:space="preserve">Délai</t>
  </si>
  <si>
    <t xml:space="preserve">Planning réalisable ?</t>
  </si>
  <si>
    <t xml:space="preserve">Tâches terminées</t>
  </si>
  <si>
    <t xml:space="preserve">Ressources</t>
  </si>
  <si>
    <t xml:space="preserve">Responsables disponibles ?</t>
  </si>
  <si>
    <t xml:space="preserve">Avancement moyen</t>
  </si>
  <si>
    <t xml:space="preserve">Risques</t>
  </si>
  <si>
    <t xml:space="preserve">Risque prioritaire traité ?</t>
  </si>
  <si>
    <t xml:space="preserve">Tâches bloquées</t>
  </si>
  <si>
    <t xml:space="preserve">Organisation</t>
  </si>
  <si>
    <t xml:space="preserve">Plan B validé ?</t>
  </si>
  <si>
    <t xml:space="preserve">Risques prioritaires</t>
  </si>
  <si>
    <t xml:space="preserve">Décision à prendre</t>
  </si>
  <si>
    <t xml:space="preserve">À compléter par le groupe</t>
  </si>
  <si>
    <t xml:space="preserve">Restitution : présentez l’écart principal, votre modification de planning et votre décision en 60 secondes.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</si>
</sst>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\ %"/>
  </numFmts>
  <fonts count="12">
    <font>
      <sz val="11"/>
      <color rgb="FF000000"/>
      <name val="Calibri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0"/>
      <charset val="1"/>
    </font>
    <font>
      <b val="true"/>
      <sz val="15"/>
      <color rgb="FF0400FF"/>
      <name val="Arial"/>
      <family val="0"/>
      <charset val="1"/>
    </font>
    <font>
      <i val="true"/>
      <sz val="10"/>
      <color rgb="FF5B647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11827"/>
      <name val="Arial"/>
      <family val="0"/>
      <charset val="1"/>
    </font>
    <font>
      <sz val="10"/>
      <color rgb="FF0400FF"/>
      <name val="Arial"/>
      <family val="0"/>
      <charset val="1"/>
    </font>
    <font>
      <b val="true"/>
      <sz val="10"/>
      <color rgb="FF991B1B"/>
      <name val="Arial"/>
      <family val="0"/>
      <charset val="1"/>
    </font>
    <font>
      <b val="true"/>
      <sz val="10"/>
      <color rgb="FF0400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400FF"/>
        <bgColor rgb="FF0000FF"/>
      </patternFill>
    </fill>
    <fill>
      <patternFill patternType="solid">
        <fgColor rgb="FFFEF3C7"/>
        <bgColor rgb="FFFEE2E2"/>
      </patternFill>
    </fill>
    <fill>
      <patternFill patternType="solid">
        <fgColor rgb="FFEEF2FF"/>
        <bgColor rgb="FFFFFFFF"/>
      </patternFill>
    </fill>
    <fill>
      <patternFill patternType="solid">
        <fgColor rgb="FFFEE2E2"/>
        <bgColor rgb="FFFEF3C7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4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3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2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166534"/>
      </font>
      <fill>
        <patternFill>
          <bgColor rgb="FFDCFCE7"/>
        </patternFill>
      </fill>
    </dxf>
    <dxf>
      <font>
        <b val="1"/>
        <color rgb="FF991B1B"/>
      </font>
      <fill>
        <patternFill>
          <bgColor rgb="FFFEE2E2"/>
        </patternFill>
      </fill>
    </dxf>
    <dxf>
      <font>
        <b val="1"/>
        <color rgb="FF92400E"/>
      </font>
      <fill>
        <patternFill>
          <bgColor rgb="FFFEF3C7"/>
        </patternFill>
      </fill>
    </dxf>
    <dxf>
      <font>
        <b val="1"/>
        <color rgb="FF0400FF"/>
      </font>
      <fill>
        <patternFill>
          <bgColor rgb="FFEEF2FF"/>
        </patternFill>
      </fill>
    </dxf>
  </dxfs>
  <colors>
    <indexedColors>
      <rgbColor rgb="FF000000"/>
      <rgbColor rgb="FFFFFFFF"/>
      <rgbColor rgb="FFFF0000"/>
      <rgbColor rgb="FF00FF00"/>
      <rgbColor rgb="FF0400FF"/>
      <rgbColor rgb="FFFFFF00"/>
      <rgbColor rgb="FFFF00FF"/>
      <rgbColor rgb="FF00FFFF"/>
      <rgbColor rgb="FF991B1B"/>
      <rgbColor rgb="FF166534"/>
      <rgbColor rgb="FF000080"/>
      <rgbColor rgb="FF808000"/>
      <rgbColor rgb="FF800080"/>
      <rgbColor rgb="FF008080"/>
      <rgbColor rgb="FFC0C0C0"/>
      <rgbColor rgb="FF5B6475"/>
      <rgbColor rgb="FF9999FF"/>
      <rgbColor rgb="FF993366"/>
      <rgbColor rgb="FFFEF3C7"/>
      <rgbColor rgb="FFDCFCE7"/>
      <rgbColor rgb="FF660066"/>
      <rgbColor rgb="FFFF8080"/>
      <rgbColor rgb="FF0066CC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2FF"/>
      <rgbColor rgb="FFCCFFCC"/>
      <rgbColor rgb="FFFFFF99"/>
      <rgbColor rgb="FF99CCFF"/>
      <rgbColor rgb="FFFF99CC"/>
      <rgbColor rgb="FFCC99FF"/>
      <rgbColor rgb="FFFEE2E2"/>
      <rgbColor rgb="FF3366FF"/>
      <rgbColor rgb="FF33CCCC"/>
      <rgbColor rgb="FF99CC00"/>
      <rgbColor rgb="FFFFCC00"/>
      <rgbColor rgb="FFFF9900"/>
      <rgbColor rgb="FFFF6600"/>
      <rgbColor rgb="FF6B7280"/>
      <rgbColor rgb="FF9CA3AF"/>
      <rgbColor rgb="FF003366"/>
      <rgbColor rgb="FF339966"/>
      <rgbColor rgb="FF111827"/>
      <rgbColor rgb="FF333300"/>
      <rgbColor rgb="FF92400E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 pitchFamily="0" charset="1"/>
        <a:ea typeface="Carlito" pitchFamily="0" charset="1"/>
        <a:cs typeface="Carlito" pitchFamily="0" charset="1"/>
      </a:majorFont>
      <a:minorFont>
        <a:latin typeface="Carlito" pitchFamily="0" charset="1"/>
        <a:ea typeface="Carlito" pitchFamily="0" charset="1"/>
        <a:cs typeface="Carlito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400FF"/>
    <pageSetUpPr fitToPage="false"/>
  </sheetPr>
  <dimension ref="A1:AP1000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K5" activePane="bottomRight" state="frozen"/>
      <selection pane="topLeft" activeCell="A1" activeCellId="0" sqref="A1"/>
      <selection pane="topRight" activeCell="K1" activeCellId="0" sqref="K1"/>
      <selection pane="bottomLeft" activeCell="A5" activeCellId="0" sqref="A5"/>
      <selection pane="bottomRight" activeCell="I24" activeCellId="0" sqref="I24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5"/>
    <col collapsed="false" customWidth="true" hidden="false" outlineLevel="0" max="3" min="3" style="0" width="34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14"/>
    <col collapsed="false" customWidth="true" hidden="false" outlineLevel="0" max="8" min="7" style="0" width="13"/>
    <col collapsed="false" customWidth="true" hidden="false" outlineLevel="0" max="10" min="9" style="0" width="12"/>
    <col collapsed="false" customWidth="true" hidden="false" outlineLevel="0" max="11" min="11" style="0" width="28"/>
    <col collapsed="false" customWidth="true" hidden="false" outlineLevel="0" max="42" min="12" style="0" width="4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customFormat="false" ht="18.55" hidden="false" customHeight="true" outlineLevel="0" collapsed="false">
      <c r="A2" s="2" t="s">
        <v>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</row>
    <row r="3" customFormat="false" ht="15" hidden="false" customHeight="true" outlineLevel="0" collapsed="false">
      <c r="A3" s="3" t="s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5" t="s">
        <v>10</v>
      </c>
      <c r="J4" s="6" t="s">
        <v>11</v>
      </c>
      <c r="K4" s="4" t="s">
        <v>12</v>
      </c>
      <c r="L4" s="4" t="n">
        <v>1</v>
      </c>
      <c r="M4" s="4" t="n">
        <v>2</v>
      </c>
      <c r="N4" s="4" t="n">
        <v>3</v>
      </c>
      <c r="O4" s="4" t="n">
        <v>4</v>
      </c>
      <c r="P4" s="4" t="n">
        <v>5</v>
      </c>
      <c r="Q4" s="4" t="n">
        <v>6</v>
      </c>
      <c r="R4" s="4" t="n">
        <v>7</v>
      </c>
      <c r="S4" s="4" t="n">
        <v>8</v>
      </c>
      <c r="T4" s="4" t="n">
        <v>9</v>
      </c>
      <c r="U4" s="4" t="n">
        <v>10</v>
      </c>
      <c r="V4" s="4" t="n">
        <v>11</v>
      </c>
      <c r="W4" s="4" t="n">
        <v>12</v>
      </c>
      <c r="X4" s="4" t="n">
        <v>13</v>
      </c>
      <c r="Y4" s="4" t="n">
        <v>14</v>
      </c>
      <c r="Z4" s="4" t="n">
        <v>15</v>
      </c>
      <c r="AA4" s="4" t="n">
        <v>16</v>
      </c>
      <c r="AB4" s="4" t="n">
        <v>17</v>
      </c>
      <c r="AC4" s="4" t="n">
        <v>18</v>
      </c>
      <c r="AD4" s="4" t="n">
        <v>19</v>
      </c>
      <c r="AE4" s="4" t="n">
        <v>20</v>
      </c>
      <c r="AF4" s="4" t="n">
        <v>21</v>
      </c>
      <c r="AG4" s="4" t="n">
        <v>22</v>
      </c>
      <c r="AH4" s="4" t="n">
        <v>23</v>
      </c>
      <c r="AI4" s="4" t="n">
        <v>24</v>
      </c>
      <c r="AJ4" s="4" t="n">
        <v>25</v>
      </c>
      <c r="AK4" s="4" t="n">
        <v>26</v>
      </c>
      <c r="AL4" s="4" t="n">
        <v>27</v>
      </c>
      <c r="AM4" s="4" t="n">
        <v>28</v>
      </c>
      <c r="AN4" s="4" t="n">
        <v>29</v>
      </c>
      <c r="AO4" s="4" t="n">
        <v>30</v>
      </c>
      <c r="AP4" s="4" t="n">
        <v>31</v>
      </c>
    </row>
    <row r="5" customFormat="false" ht="27.75" hidden="false" customHeight="true" outlineLevel="0" collapsed="false">
      <c r="A5" s="7" t="s">
        <v>13</v>
      </c>
      <c r="B5" s="7" t="s">
        <v>14</v>
      </c>
      <c r="C5" s="7" t="s">
        <v>15</v>
      </c>
      <c r="D5" s="8" t="s">
        <v>16</v>
      </c>
      <c r="E5" s="8" t="n">
        <v>3</v>
      </c>
      <c r="F5" s="8" t="s">
        <v>17</v>
      </c>
      <c r="G5" s="8" t="s">
        <v>18</v>
      </c>
      <c r="H5" s="9" t="n">
        <v>100</v>
      </c>
      <c r="I5" s="10" t="n">
        <v>1</v>
      </c>
      <c r="J5" s="11" t="n">
        <f aca="false">IF(OR(I5="",E5=""),"",I5+E5-1)</f>
        <v>3</v>
      </c>
      <c r="K5" s="7"/>
      <c r="L5" s="12" t="str">
        <f aca="false">IF(AND(L$4&gt;=$I5,L$4&lt;=$J5),"■","")</f>
        <v>■</v>
      </c>
      <c r="M5" s="12" t="str">
        <f aca="false">IF(AND(M$4&gt;=$I5,M$4&lt;=$J5),"■","")</f>
        <v>■</v>
      </c>
      <c r="N5" s="12" t="str">
        <f aca="false">IF(AND(N$4&gt;=$I5,N$4&lt;=$J5),"■","")</f>
        <v>■</v>
      </c>
      <c r="O5" s="12" t="str">
        <f aca="false">IF(AND(O$4&gt;=$I5,O$4&lt;=$J5),"■","")</f>
        <v/>
      </c>
      <c r="P5" s="12" t="str">
        <f aca="false">IF(AND(P$4&gt;=$I5,P$4&lt;=$J5),"■","")</f>
        <v/>
      </c>
      <c r="Q5" s="12" t="str">
        <f aca="false">IF(AND(Q$4&gt;=$I5,Q$4&lt;=$J5),"■","")</f>
        <v/>
      </c>
      <c r="R5" s="12" t="str">
        <f aca="false">IF(AND(R$4&gt;=$I5,R$4&lt;=$J5),"■","")</f>
        <v/>
      </c>
      <c r="S5" s="12" t="str">
        <f aca="false">IF(AND(S$4&gt;=$I5,S$4&lt;=$J5),"■","")</f>
        <v/>
      </c>
      <c r="T5" s="12" t="str">
        <f aca="false">IF(AND(T$4&gt;=$I5,T$4&lt;=$J5),"■","")</f>
        <v/>
      </c>
      <c r="U5" s="12" t="str">
        <f aca="false">IF(AND(U$4&gt;=$I5,U$4&lt;=$J5),"■","")</f>
        <v/>
      </c>
      <c r="V5" s="12" t="str">
        <f aca="false">IF(AND(V$4&gt;=$I5,V$4&lt;=$J5),"■","")</f>
        <v/>
      </c>
      <c r="W5" s="12" t="str">
        <f aca="false">IF(AND(W$4&gt;=$I5,W$4&lt;=$J5),"■","")</f>
        <v/>
      </c>
      <c r="X5" s="12" t="str">
        <f aca="false">IF(AND(X$4&gt;=$I5,X$4&lt;=$J5),"■","")</f>
        <v/>
      </c>
      <c r="Y5" s="12" t="str">
        <f aca="false">IF(AND(Y$4&gt;=$I5,Y$4&lt;=$J5),"■","")</f>
        <v/>
      </c>
      <c r="Z5" s="12" t="str">
        <f aca="false">IF(AND(Z$4&gt;=$I5,Z$4&lt;=$J5),"■","")</f>
        <v/>
      </c>
      <c r="AA5" s="12" t="str">
        <f aca="false">IF(AND(AA$4&gt;=$I5,AA$4&lt;=$J5),"■","")</f>
        <v/>
      </c>
      <c r="AB5" s="12" t="str">
        <f aca="false">IF(AND(AB$4&gt;=$I5,AB$4&lt;=$J5),"■","")</f>
        <v/>
      </c>
      <c r="AC5" s="12" t="str">
        <f aca="false">IF(AND(AC$4&gt;=$I5,AC$4&lt;=$J5),"■","")</f>
        <v/>
      </c>
      <c r="AD5" s="12" t="str">
        <f aca="false">IF(AND(AD$4&gt;=$I5,AD$4&lt;=$J5),"■","")</f>
        <v/>
      </c>
      <c r="AE5" s="12" t="str">
        <f aca="false">IF(AND(AE$4&gt;=$I5,AE$4&lt;=$J5),"■","")</f>
        <v/>
      </c>
      <c r="AF5" s="12" t="str">
        <f aca="false">IF(AND(AF$4&gt;=$I5,AF$4&lt;=$J5),"■","")</f>
        <v/>
      </c>
      <c r="AG5" s="12" t="str">
        <f aca="false">IF(AND(AG$4&gt;=$I5,AG$4&lt;=$J5),"■","")</f>
        <v/>
      </c>
      <c r="AH5" s="12" t="str">
        <f aca="false">IF(AND(AH$4&gt;=$I5,AH$4&lt;=$J5),"■","")</f>
        <v/>
      </c>
      <c r="AI5" s="12" t="str">
        <f aca="false">IF(AND(AI$4&gt;=$I5,AI$4&lt;=$J5),"■","")</f>
        <v/>
      </c>
      <c r="AJ5" s="12" t="str">
        <f aca="false">IF(AND(AJ$4&gt;=$I5,AJ$4&lt;=$J5),"■","")</f>
        <v/>
      </c>
      <c r="AK5" s="12" t="str">
        <f aca="false">IF(AND(AK$4&gt;=$I5,AK$4&lt;=$J5),"■","")</f>
        <v/>
      </c>
      <c r="AL5" s="12" t="str">
        <f aca="false">IF(AND(AL$4&gt;=$I5,AL$4&lt;=$J5),"■","")</f>
        <v/>
      </c>
      <c r="AM5" s="12" t="str">
        <f aca="false">IF(AND(AM$4&gt;=$I5,AM$4&lt;=$J5),"■","")</f>
        <v/>
      </c>
      <c r="AN5" s="12" t="str">
        <f aca="false">IF(AND(AN$4&gt;=$I5,AN$4&lt;=$J5),"■","")</f>
        <v/>
      </c>
      <c r="AO5" s="12" t="str">
        <f aca="false">IF(AND(AO$4&gt;=$I5,AO$4&lt;=$J5),"■","")</f>
        <v/>
      </c>
      <c r="AP5" s="12" t="str">
        <f aca="false">IF(AND(AP$4&gt;=$I5,AP$4&lt;=$J5),"■","")</f>
        <v/>
      </c>
    </row>
    <row r="6" customFormat="false" ht="27.75" hidden="false" customHeight="true" outlineLevel="0" collapsed="false">
      <c r="A6" s="7" t="s">
        <v>19</v>
      </c>
      <c r="B6" s="7" t="s">
        <v>14</v>
      </c>
      <c r="C6" s="7" t="s">
        <v>20</v>
      </c>
      <c r="D6" s="8" t="s">
        <v>16</v>
      </c>
      <c r="E6" s="8" t="n">
        <v>10</v>
      </c>
      <c r="F6" s="8" t="s">
        <v>21</v>
      </c>
      <c r="G6" s="8" t="s">
        <v>22</v>
      </c>
      <c r="H6" s="9" t="n">
        <v>60</v>
      </c>
      <c r="I6" s="10" t="n">
        <v>5</v>
      </c>
      <c r="J6" s="11" t="n">
        <f aca="false">IF(OR(I6="",E6=""),"",I6+E6-1)</f>
        <v>14</v>
      </c>
      <c r="K6" s="7"/>
      <c r="L6" s="12" t="str">
        <f aca="false">IF(AND(L$4&gt;=$I6,L$4&lt;=$J6),"■","")</f>
        <v/>
      </c>
      <c r="M6" s="12" t="str">
        <f aca="false">IF(AND(M$4&gt;=$I6,M$4&lt;=$J6),"■","")</f>
        <v/>
      </c>
      <c r="N6" s="12" t="str">
        <f aca="false">IF(AND(N$4&gt;=$I6,N$4&lt;=$J6),"■","")</f>
        <v/>
      </c>
      <c r="O6" s="12" t="str">
        <f aca="false">IF(AND(O$4&gt;=$I6,O$4&lt;=$J6),"■","")</f>
        <v/>
      </c>
      <c r="P6" s="12" t="str">
        <f aca="false">IF(AND(P$4&gt;=$I6,P$4&lt;=$J6),"■","")</f>
        <v>■</v>
      </c>
      <c r="Q6" s="12" t="str">
        <f aca="false">IF(AND(Q$4&gt;=$I6,Q$4&lt;=$J6),"■","")</f>
        <v>■</v>
      </c>
      <c r="R6" s="12" t="str">
        <f aca="false">IF(AND(R$4&gt;=$I6,R$4&lt;=$J6),"■","")</f>
        <v>■</v>
      </c>
      <c r="S6" s="12" t="str">
        <f aca="false">IF(AND(S$4&gt;=$I6,S$4&lt;=$J6),"■","")</f>
        <v>■</v>
      </c>
      <c r="T6" s="12" t="str">
        <f aca="false">IF(AND(T$4&gt;=$I6,T$4&lt;=$J6),"■","")</f>
        <v>■</v>
      </c>
      <c r="U6" s="12" t="str">
        <f aca="false">IF(AND(U$4&gt;=$I6,U$4&lt;=$J6),"■","")</f>
        <v>■</v>
      </c>
      <c r="V6" s="12" t="str">
        <f aca="false">IF(AND(V$4&gt;=$I6,V$4&lt;=$J6),"■","")</f>
        <v>■</v>
      </c>
      <c r="W6" s="12" t="str">
        <f aca="false">IF(AND(W$4&gt;=$I6,W$4&lt;=$J6),"■","")</f>
        <v>■</v>
      </c>
      <c r="X6" s="12" t="str">
        <f aca="false">IF(AND(X$4&gt;=$I6,X$4&lt;=$J6),"■","")</f>
        <v>■</v>
      </c>
      <c r="Y6" s="12" t="str">
        <f aca="false">IF(AND(Y$4&gt;=$I6,Y$4&lt;=$J6),"■","")</f>
        <v>■</v>
      </c>
      <c r="Z6" s="12" t="str">
        <f aca="false">IF(AND(Z$4&gt;=$I6,Z$4&lt;=$J6),"■","")</f>
        <v/>
      </c>
      <c r="AA6" s="12" t="str">
        <f aca="false">IF(AND(AA$4&gt;=$I6,AA$4&lt;=$J6),"■","")</f>
        <v/>
      </c>
      <c r="AB6" s="12" t="str">
        <f aca="false">IF(AND(AB$4&gt;=$I6,AB$4&lt;=$J6),"■","")</f>
        <v/>
      </c>
      <c r="AC6" s="12" t="str">
        <f aca="false">IF(AND(AC$4&gt;=$I6,AC$4&lt;=$J6),"■","")</f>
        <v/>
      </c>
      <c r="AD6" s="12" t="str">
        <f aca="false">IF(AND(AD$4&gt;=$I6,AD$4&lt;=$J6),"■","")</f>
        <v/>
      </c>
      <c r="AE6" s="12" t="str">
        <f aca="false">IF(AND(AE$4&gt;=$I6,AE$4&lt;=$J6),"■","")</f>
        <v/>
      </c>
      <c r="AF6" s="12" t="str">
        <f aca="false">IF(AND(AF$4&gt;=$I6,AF$4&lt;=$J6),"■","")</f>
        <v/>
      </c>
      <c r="AG6" s="12" t="str">
        <f aca="false">IF(AND(AG$4&gt;=$I6,AG$4&lt;=$J6),"■","")</f>
        <v/>
      </c>
      <c r="AH6" s="12" t="str">
        <f aca="false">IF(AND(AH$4&gt;=$I6,AH$4&lt;=$J6),"■","")</f>
        <v/>
      </c>
      <c r="AI6" s="12" t="str">
        <f aca="false">IF(AND(AI$4&gt;=$I6,AI$4&lt;=$J6),"■","")</f>
        <v/>
      </c>
      <c r="AJ6" s="12" t="str">
        <f aca="false">IF(AND(AJ$4&gt;=$I6,AJ$4&lt;=$J6),"■","")</f>
        <v/>
      </c>
      <c r="AK6" s="12" t="str">
        <f aca="false">IF(AND(AK$4&gt;=$I6,AK$4&lt;=$J6),"■","")</f>
        <v/>
      </c>
      <c r="AL6" s="12" t="str">
        <f aca="false">IF(AND(AL$4&gt;=$I6,AL$4&lt;=$J6),"■","")</f>
        <v/>
      </c>
      <c r="AM6" s="12" t="str">
        <f aca="false">IF(AND(AM$4&gt;=$I6,AM$4&lt;=$J6),"■","")</f>
        <v/>
      </c>
      <c r="AN6" s="12" t="str">
        <f aca="false">IF(AND(AN$4&gt;=$I6,AN$4&lt;=$J6),"■","")</f>
        <v/>
      </c>
      <c r="AO6" s="12" t="str">
        <f aca="false">IF(AND(AO$4&gt;=$I6,AO$4&lt;=$J6),"■","")</f>
        <v/>
      </c>
      <c r="AP6" s="12" t="str">
        <f aca="false">IF(AND(AP$4&gt;=$I6,AP$4&lt;=$J6),"■","")</f>
        <v/>
      </c>
    </row>
    <row r="7" customFormat="false" ht="27.75" hidden="false" customHeight="true" outlineLevel="0" collapsed="false">
      <c r="A7" s="7" t="s">
        <v>23</v>
      </c>
      <c r="B7" s="7" t="s">
        <v>24</v>
      </c>
      <c r="C7" s="7" t="s">
        <v>25</v>
      </c>
      <c r="D7" s="8" t="s">
        <v>26</v>
      </c>
      <c r="E7" s="8" t="n">
        <v>2</v>
      </c>
      <c r="F7" s="8" t="s">
        <v>27</v>
      </c>
      <c r="G7" s="8" t="s">
        <v>28</v>
      </c>
      <c r="H7" s="9" t="n">
        <v>0</v>
      </c>
      <c r="I7" s="10" t="n">
        <v>24</v>
      </c>
      <c r="J7" s="11" t="n">
        <f aca="false">IF(OR(I7="",E7=""),"",I7+E7-1)</f>
        <v>25</v>
      </c>
      <c r="K7" s="7"/>
      <c r="L7" s="12" t="str">
        <f aca="false">IF(AND(L$4&gt;=$I7,L$4&lt;=$J7),"■","")</f>
        <v/>
      </c>
      <c r="M7" s="12" t="str">
        <f aca="false">IF(AND(M$4&gt;=$I7,M$4&lt;=$J7),"■","")</f>
        <v/>
      </c>
      <c r="N7" s="12" t="str">
        <f aca="false">IF(AND(N$4&gt;=$I7,N$4&lt;=$J7),"■","")</f>
        <v/>
      </c>
      <c r="O7" s="12" t="str">
        <f aca="false">IF(AND(O$4&gt;=$I7,O$4&lt;=$J7),"■","")</f>
        <v/>
      </c>
      <c r="P7" s="12" t="str">
        <f aca="false">IF(AND(P$4&gt;=$I7,P$4&lt;=$J7),"■","")</f>
        <v/>
      </c>
      <c r="Q7" s="12" t="str">
        <f aca="false">IF(AND(Q$4&gt;=$I7,Q$4&lt;=$J7),"■","")</f>
        <v/>
      </c>
      <c r="R7" s="12" t="str">
        <f aca="false">IF(AND(R$4&gt;=$I7,R$4&lt;=$J7),"■","")</f>
        <v/>
      </c>
      <c r="S7" s="12" t="str">
        <f aca="false">IF(AND(S$4&gt;=$I7,S$4&lt;=$J7),"■","")</f>
        <v/>
      </c>
      <c r="T7" s="12" t="str">
        <f aca="false">IF(AND(T$4&gt;=$I7,T$4&lt;=$J7),"■","")</f>
        <v/>
      </c>
      <c r="U7" s="12" t="str">
        <f aca="false">IF(AND(U$4&gt;=$I7,U$4&lt;=$J7),"■","")</f>
        <v/>
      </c>
      <c r="V7" s="12" t="str">
        <f aca="false">IF(AND(V$4&gt;=$I7,V$4&lt;=$J7),"■","")</f>
        <v/>
      </c>
      <c r="W7" s="12" t="str">
        <f aca="false">IF(AND(W$4&gt;=$I7,W$4&lt;=$J7),"■","")</f>
        <v/>
      </c>
      <c r="X7" s="12" t="str">
        <f aca="false">IF(AND(X$4&gt;=$I7,X$4&lt;=$J7),"■","")</f>
        <v/>
      </c>
      <c r="Y7" s="12" t="str">
        <f aca="false">IF(AND(Y$4&gt;=$I7,Y$4&lt;=$J7),"■","")</f>
        <v/>
      </c>
      <c r="Z7" s="12" t="str">
        <f aca="false">IF(AND(Z$4&gt;=$I7,Z$4&lt;=$J7),"■","")</f>
        <v/>
      </c>
      <c r="AA7" s="12" t="str">
        <f aca="false">IF(AND(AA$4&gt;=$I7,AA$4&lt;=$J7),"■","")</f>
        <v/>
      </c>
      <c r="AB7" s="12" t="str">
        <f aca="false">IF(AND(AB$4&gt;=$I7,AB$4&lt;=$J7),"■","")</f>
        <v/>
      </c>
      <c r="AC7" s="12" t="str">
        <f aca="false">IF(AND(AC$4&gt;=$I7,AC$4&lt;=$J7),"■","")</f>
        <v/>
      </c>
      <c r="AD7" s="12" t="str">
        <f aca="false">IF(AND(AD$4&gt;=$I7,AD$4&lt;=$J7),"■","")</f>
        <v/>
      </c>
      <c r="AE7" s="12" t="str">
        <f aca="false">IF(AND(AE$4&gt;=$I7,AE$4&lt;=$J7),"■","")</f>
        <v/>
      </c>
      <c r="AF7" s="12" t="str">
        <f aca="false">IF(AND(AF$4&gt;=$I7,AF$4&lt;=$J7),"■","")</f>
        <v/>
      </c>
      <c r="AG7" s="12" t="str">
        <f aca="false">IF(AND(AG$4&gt;=$I7,AG$4&lt;=$J7),"■","")</f>
        <v/>
      </c>
      <c r="AH7" s="12" t="str">
        <f aca="false">IF(AND(AH$4&gt;=$I7,AH$4&lt;=$J7),"■","")</f>
        <v/>
      </c>
      <c r="AI7" s="12" t="str">
        <f aca="false">IF(AND(AI$4&gt;=$I7,AI$4&lt;=$J7),"■","")</f>
        <v>■</v>
      </c>
      <c r="AJ7" s="12" t="str">
        <f aca="false">IF(AND(AJ$4&gt;=$I7,AJ$4&lt;=$J7),"■","")</f>
        <v>■</v>
      </c>
      <c r="AK7" s="12" t="str">
        <f aca="false">IF(AND(AK$4&gt;=$I7,AK$4&lt;=$J7),"■","")</f>
        <v/>
      </c>
      <c r="AL7" s="12" t="str">
        <f aca="false">IF(AND(AL$4&gt;=$I7,AL$4&lt;=$J7),"■","")</f>
        <v/>
      </c>
      <c r="AM7" s="12" t="str">
        <f aca="false">IF(AND(AM$4&gt;=$I7,AM$4&lt;=$J7),"■","")</f>
        <v/>
      </c>
      <c r="AN7" s="12" t="str">
        <f aca="false">IF(AND(AN$4&gt;=$I7,AN$4&lt;=$J7),"■","")</f>
        <v/>
      </c>
      <c r="AO7" s="12" t="str">
        <f aca="false">IF(AND(AO$4&gt;=$I7,AO$4&lt;=$J7),"■","")</f>
        <v/>
      </c>
      <c r="AP7" s="12" t="str">
        <f aca="false">IF(AND(AP$4&gt;=$I7,AP$4&lt;=$J7),"■","")</f>
        <v/>
      </c>
    </row>
    <row r="8" customFormat="false" ht="27.75" hidden="false" customHeight="true" outlineLevel="0" collapsed="false">
      <c r="A8" s="7" t="s">
        <v>27</v>
      </c>
      <c r="B8" s="7" t="s">
        <v>24</v>
      </c>
      <c r="C8" s="7" t="s">
        <v>29</v>
      </c>
      <c r="D8" s="8" t="s">
        <v>26</v>
      </c>
      <c r="E8" s="8" t="n">
        <v>3</v>
      </c>
      <c r="F8" s="8" t="n">
        <v>1.2</v>
      </c>
      <c r="G8" s="8" t="s">
        <v>28</v>
      </c>
      <c r="H8" s="9" t="n">
        <v>0</v>
      </c>
      <c r="I8" s="10" t="n">
        <v>15</v>
      </c>
      <c r="J8" s="11" t="n">
        <f aca="false">IF(OR(I8="",E8=""),"",I8+E8-1)</f>
        <v>17</v>
      </c>
      <c r="K8" s="7"/>
      <c r="L8" s="12" t="str">
        <f aca="false">IF(AND(L$4&gt;=$I8,L$4&lt;=$J8),"■","")</f>
        <v/>
      </c>
      <c r="M8" s="12" t="str">
        <f aca="false">IF(AND(M$4&gt;=$I8,M$4&lt;=$J8),"■","")</f>
        <v/>
      </c>
      <c r="N8" s="12" t="str">
        <f aca="false">IF(AND(N$4&gt;=$I8,N$4&lt;=$J8),"■","")</f>
        <v/>
      </c>
      <c r="O8" s="12" t="str">
        <f aca="false">IF(AND(O$4&gt;=$I8,O$4&lt;=$J8),"■","")</f>
        <v/>
      </c>
      <c r="P8" s="12" t="str">
        <f aca="false">IF(AND(P$4&gt;=$I8,P$4&lt;=$J8),"■","")</f>
        <v/>
      </c>
      <c r="Q8" s="12" t="str">
        <f aca="false">IF(AND(Q$4&gt;=$I8,Q$4&lt;=$J8),"■","")</f>
        <v/>
      </c>
      <c r="R8" s="12" t="str">
        <f aca="false">IF(AND(R$4&gt;=$I8,R$4&lt;=$J8),"■","")</f>
        <v/>
      </c>
      <c r="S8" s="12" t="str">
        <f aca="false">IF(AND(S$4&gt;=$I8,S$4&lt;=$J8),"■","")</f>
        <v/>
      </c>
      <c r="T8" s="12" t="str">
        <f aca="false">IF(AND(T$4&gt;=$I8,T$4&lt;=$J8),"■","")</f>
        <v/>
      </c>
      <c r="U8" s="12" t="str">
        <f aca="false">IF(AND(U$4&gt;=$I8,U$4&lt;=$J8),"■","")</f>
        <v/>
      </c>
      <c r="V8" s="12" t="str">
        <f aca="false">IF(AND(V$4&gt;=$I8,V$4&lt;=$J8),"■","")</f>
        <v/>
      </c>
      <c r="W8" s="12" t="str">
        <f aca="false">IF(AND(W$4&gt;=$I8,W$4&lt;=$J8),"■","")</f>
        <v/>
      </c>
      <c r="X8" s="12" t="str">
        <f aca="false">IF(AND(X$4&gt;=$I8,X$4&lt;=$J8),"■","")</f>
        <v/>
      </c>
      <c r="Y8" s="12" t="str">
        <f aca="false">IF(AND(Y$4&gt;=$I8,Y$4&lt;=$J8),"■","")</f>
        <v/>
      </c>
      <c r="Z8" s="12" t="str">
        <f aca="false">IF(AND(Z$4&gt;=$I8,Z$4&lt;=$J8),"■","")</f>
        <v>■</v>
      </c>
      <c r="AA8" s="12" t="str">
        <f aca="false">IF(AND(AA$4&gt;=$I8,AA$4&lt;=$J8),"■","")</f>
        <v>■</v>
      </c>
      <c r="AB8" s="12" t="str">
        <f aca="false">IF(AND(AB$4&gt;=$I8,AB$4&lt;=$J8),"■","")</f>
        <v>■</v>
      </c>
      <c r="AC8" s="12" t="str">
        <f aca="false">IF(AND(AC$4&gt;=$I8,AC$4&lt;=$J8),"■","")</f>
        <v/>
      </c>
      <c r="AD8" s="12" t="str">
        <f aca="false">IF(AND(AD$4&gt;=$I8,AD$4&lt;=$J8),"■","")</f>
        <v/>
      </c>
      <c r="AE8" s="12" t="str">
        <f aca="false">IF(AND(AE$4&gt;=$I8,AE$4&lt;=$J8),"■","")</f>
        <v/>
      </c>
      <c r="AF8" s="12" t="str">
        <f aca="false">IF(AND(AF$4&gt;=$I8,AF$4&lt;=$J8),"■","")</f>
        <v/>
      </c>
      <c r="AG8" s="12" t="str">
        <f aca="false">IF(AND(AG$4&gt;=$I8,AG$4&lt;=$J8),"■","")</f>
        <v/>
      </c>
      <c r="AH8" s="12" t="str">
        <f aca="false">IF(AND(AH$4&gt;=$I8,AH$4&lt;=$J8),"■","")</f>
        <v/>
      </c>
      <c r="AI8" s="12" t="str">
        <f aca="false">IF(AND(AI$4&gt;=$I8,AI$4&lt;=$J8),"■","")</f>
        <v/>
      </c>
      <c r="AJ8" s="12" t="str">
        <f aca="false">IF(AND(AJ$4&gt;=$I8,AJ$4&lt;=$J8),"■","")</f>
        <v/>
      </c>
      <c r="AK8" s="12" t="str">
        <f aca="false">IF(AND(AK$4&gt;=$I8,AK$4&lt;=$J8),"■","")</f>
        <v/>
      </c>
      <c r="AL8" s="12" t="str">
        <f aca="false">IF(AND(AL$4&gt;=$I8,AL$4&lt;=$J8),"■","")</f>
        <v/>
      </c>
      <c r="AM8" s="12" t="str">
        <f aca="false">IF(AND(AM$4&gt;=$I8,AM$4&lt;=$J8),"■","")</f>
        <v/>
      </c>
      <c r="AN8" s="12" t="str">
        <f aca="false">IF(AND(AN$4&gt;=$I8,AN$4&lt;=$J8),"■","")</f>
        <v/>
      </c>
      <c r="AO8" s="12" t="str">
        <f aca="false">IF(AND(AO$4&gt;=$I8,AO$4&lt;=$J8),"■","")</f>
        <v/>
      </c>
      <c r="AP8" s="12" t="str">
        <f aca="false">IF(AND(AP$4&gt;=$I8,AP$4&lt;=$J8),"■","")</f>
        <v/>
      </c>
    </row>
    <row r="9" customFormat="false" ht="27.75" hidden="false" customHeight="true" outlineLevel="0" collapsed="false">
      <c r="A9" s="7" t="s">
        <v>30</v>
      </c>
      <c r="B9" s="7" t="s">
        <v>24</v>
      </c>
      <c r="C9" s="7" t="s">
        <v>31</v>
      </c>
      <c r="D9" s="8" t="s">
        <v>16</v>
      </c>
      <c r="E9" s="8" t="n">
        <v>3</v>
      </c>
      <c r="F9" s="8" t="s">
        <v>27</v>
      </c>
      <c r="G9" s="8" t="s">
        <v>28</v>
      </c>
      <c r="H9" s="9" t="n">
        <v>0</v>
      </c>
      <c r="I9" s="10" t="n">
        <v>24</v>
      </c>
      <c r="J9" s="11" t="n">
        <f aca="false">IF(OR(I9="",E9=""),"",I9+E9-1)</f>
        <v>26</v>
      </c>
      <c r="K9" s="7"/>
      <c r="L9" s="12" t="str">
        <f aca="false">IF(AND(L$4&gt;=$I9,L$4&lt;=$J9),"■","")</f>
        <v/>
      </c>
      <c r="M9" s="12" t="str">
        <f aca="false">IF(AND(M$4&gt;=$I9,M$4&lt;=$J9),"■","")</f>
        <v/>
      </c>
      <c r="N9" s="12" t="str">
        <f aca="false">IF(AND(N$4&gt;=$I9,N$4&lt;=$J9),"■","")</f>
        <v/>
      </c>
      <c r="O9" s="12" t="str">
        <f aca="false">IF(AND(O$4&gt;=$I9,O$4&lt;=$J9),"■","")</f>
        <v/>
      </c>
      <c r="P9" s="12" t="str">
        <f aca="false">IF(AND(P$4&gt;=$I9,P$4&lt;=$J9),"■","")</f>
        <v/>
      </c>
      <c r="Q9" s="12" t="str">
        <f aca="false">IF(AND(Q$4&gt;=$I9,Q$4&lt;=$J9),"■","")</f>
        <v/>
      </c>
      <c r="R9" s="12" t="str">
        <f aca="false">IF(AND(R$4&gt;=$I9,R$4&lt;=$J9),"■","")</f>
        <v/>
      </c>
      <c r="S9" s="12" t="str">
        <f aca="false">IF(AND(S$4&gt;=$I9,S$4&lt;=$J9),"■","")</f>
        <v/>
      </c>
      <c r="T9" s="12" t="str">
        <f aca="false">IF(AND(T$4&gt;=$I9,T$4&lt;=$J9),"■","")</f>
        <v/>
      </c>
      <c r="U9" s="12" t="str">
        <f aca="false">IF(AND(U$4&gt;=$I9,U$4&lt;=$J9),"■","")</f>
        <v/>
      </c>
      <c r="V9" s="12" t="str">
        <f aca="false">IF(AND(V$4&gt;=$I9,V$4&lt;=$J9),"■","")</f>
        <v/>
      </c>
      <c r="W9" s="12" t="str">
        <f aca="false">IF(AND(W$4&gt;=$I9,W$4&lt;=$J9),"■","")</f>
        <v/>
      </c>
      <c r="X9" s="12" t="str">
        <f aca="false">IF(AND(X$4&gt;=$I9,X$4&lt;=$J9),"■","")</f>
        <v/>
      </c>
      <c r="Y9" s="12" t="str">
        <f aca="false">IF(AND(Y$4&gt;=$I9,Y$4&lt;=$J9),"■","")</f>
        <v/>
      </c>
      <c r="Z9" s="12" t="str">
        <f aca="false">IF(AND(Z$4&gt;=$I9,Z$4&lt;=$J9),"■","")</f>
        <v/>
      </c>
      <c r="AA9" s="12" t="str">
        <f aca="false">IF(AND(AA$4&gt;=$I9,AA$4&lt;=$J9),"■","")</f>
        <v/>
      </c>
      <c r="AB9" s="12" t="str">
        <f aca="false">IF(AND(AB$4&gt;=$I9,AB$4&lt;=$J9),"■","")</f>
        <v/>
      </c>
      <c r="AC9" s="12" t="str">
        <f aca="false">IF(AND(AC$4&gt;=$I9,AC$4&lt;=$J9),"■","")</f>
        <v/>
      </c>
      <c r="AD9" s="12" t="str">
        <f aca="false">IF(AND(AD$4&gt;=$I9,AD$4&lt;=$J9),"■","")</f>
        <v/>
      </c>
      <c r="AE9" s="12" t="str">
        <f aca="false">IF(AND(AE$4&gt;=$I9,AE$4&lt;=$J9),"■","")</f>
        <v/>
      </c>
      <c r="AF9" s="12" t="str">
        <f aca="false">IF(AND(AF$4&gt;=$I9,AF$4&lt;=$J9),"■","")</f>
        <v/>
      </c>
      <c r="AG9" s="12" t="str">
        <f aca="false">IF(AND(AG$4&gt;=$I9,AG$4&lt;=$J9),"■","")</f>
        <v/>
      </c>
      <c r="AH9" s="12" t="str">
        <f aca="false">IF(AND(AH$4&gt;=$I9,AH$4&lt;=$J9),"■","")</f>
        <v/>
      </c>
      <c r="AI9" s="12" t="str">
        <f aca="false">IF(AND(AI$4&gt;=$I9,AI$4&lt;=$J9),"■","")</f>
        <v>■</v>
      </c>
      <c r="AJ9" s="12" t="str">
        <f aca="false">IF(AND(AJ$4&gt;=$I9,AJ$4&lt;=$J9),"■","")</f>
        <v>■</v>
      </c>
      <c r="AK9" s="12" t="str">
        <f aca="false">IF(AND(AK$4&gt;=$I9,AK$4&lt;=$J9),"■","")</f>
        <v>■</v>
      </c>
      <c r="AL9" s="12" t="str">
        <f aca="false">IF(AND(AL$4&gt;=$I9,AL$4&lt;=$J9),"■","")</f>
        <v/>
      </c>
      <c r="AM9" s="12" t="str">
        <f aca="false">IF(AND(AM$4&gt;=$I9,AM$4&lt;=$J9),"■","")</f>
        <v/>
      </c>
      <c r="AN9" s="12" t="str">
        <f aca="false">IF(AND(AN$4&gt;=$I9,AN$4&lt;=$J9),"■","")</f>
        <v/>
      </c>
      <c r="AO9" s="12" t="str">
        <f aca="false">IF(AND(AO$4&gt;=$I9,AO$4&lt;=$J9),"■","")</f>
        <v/>
      </c>
      <c r="AP9" s="12" t="str">
        <f aca="false">IF(AND(AP$4&gt;=$I9,AP$4&lt;=$J9),"■","")</f>
        <v/>
      </c>
    </row>
    <row r="10" customFormat="false" ht="27.75" hidden="false" customHeight="true" outlineLevel="0" collapsed="false">
      <c r="A10" s="7" t="s">
        <v>32</v>
      </c>
      <c r="B10" s="7" t="s">
        <v>33</v>
      </c>
      <c r="C10" s="7" t="s">
        <v>34</v>
      </c>
      <c r="D10" s="8" t="s">
        <v>35</v>
      </c>
      <c r="E10" s="8" t="n">
        <v>1</v>
      </c>
      <c r="F10" s="8" t="s">
        <v>27</v>
      </c>
      <c r="G10" s="8" t="s">
        <v>28</v>
      </c>
      <c r="H10" s="9" t="n">
        <v>0</v>
      </c>
      <c r="I10" s="10" t="n">
        <v>24</v>
      </c>
      <c r="J10" s="11" t="n">
        <f aca="false">IF(OR(I10="",E10=""),"",I10+E10-1)</f>
        <v>24</v>
      </c>
      <c r="K10" s="7"/>
      <c r="L10" s="12" t="str">
        <f aca="false">IF(AND(L$4&gt;=$I10,L$4&lt;=$J10),"■","")</f>
        <v/>
      </c>
      <c r="M10" s="12" t="str">
        <f aca="false">IF(AND(M$4&gt;=$I10,M$4&lt;=$J10),"■","")</f>
        <v/>
      </c>
      <c r="N10" s="12" t="str">
        <f aca="false">IF(AND(N$4&gt;=$I10,N$4&lt;=$J10),"■","")</f>
        <v/>
      </c>
      <c r="O10" s="12" t="str">
        <f aca="false">IF(AND(O$4&gt;=$I10,O$4&lt;=$J10),"■","")</f>
        <v/>
      </c>
      <c r="P10" s="12" t="str">
        <f aca="false">IF(AND(P$4&gt;=$I10,P$4&lt;=$J10),"■","")</f>
        <v/>
      </c>
      <c r="Q10" s="12" t="str">
        <f aca="false">IF(AND(Q$4&gt;=$I10,Q$4&lt;=$J10),"■","")</f>
        <v/>
      </c>
      <c r="R10" s="12" t="str">
        <f aca="false">IF(AND(R$4&gt;=$I10,R$4&lt;=$J10),"■","")</f>
        <v/>
      </c>
      <c r="S10" s="12" t="str">
        <f aca="false">IF(AND(S$4&gt;=$I10,S$4&lt;=$J10),"■","")</f>
        <v/>
      </c>
      <c r="T10" s="12" t="str">
        <f aca="false">IF(AND(T$4&gt;=$I10,T$4&lt;=$J10),"■","")</f>
        <v/>
      </c>
      <c r="U10" s="12" t="str">
        <f aca="false">IF(AND(U$4&gt;=$I10,U$4&lt;=$J10),"■","")</f>
        <v/>
      </c>
      <c r="V10" s="12" t="str">
        <f aca="false">IF(AND(V$4&gt;=$I10,V$4&lt;=$J10),"■","")</f>
        <v/>
      </c>
      <c r="W10" s="12" t="str">
        <f aca="false">IF(AND(W$4&gt;=$I10,W$4&lt;=$J10),"■","")</f>
        <v/>
      </c>
      <c r="X10" s="12" t="str">
        <f aca="false">IF(AND(X$4&gt;=$I10,X$4&lt;=$J10),"■","")</f>
        <v/>
      </c>
      <c r="Y10" s="12" t="str">
        <f aca="false">IF(AND(Y$4&gt;=$I10,Y$4&lt;=$J10),"■","")</f>
        <v/>
      </c>
      <c r="Z10" s="12" t="str">
        <f aca="false">IF(AND(Z$4&gt;=$I10,Z$4&lt;=$J10),"■","")</f>
        <v/>
      </c>
      <c r="AA10" s="12" t="str">
        <f aca="false">IF(AND(AA$4&gt;=$I10,AA$4&lt;=$J10),"■","")</f>
        <v/>
      </c>
      <c r="AB10" s="12" t="str">
        <f aca="false">IF(AND(AB$4&gt;=$I10,AB$4&lt;=$J10),"■","")</f>
        <v/>
      </c>
      <c r="AC10" s="12" t="str">
        <f aca="false">IF(AND(AC$4&gt;=$I10,AC$4&lt;=$J10),"■","")</f>
        <v/>
      </c>
      <c r="AD10" s="12" t="str">
        <f aca="false">IF(AND(AD$4&gt;=$I10,AD$4&lt;=$J10),"■","")</f>
        <v/>
      </c>
      <c r="AE10" s="12" t="str">
        <f aca="false">IF(AND(AE$4&gt;=$I10,AE$4&lt;=$J10),"■","")</f>
        <v/>
      </c>
      <c r="AF10" s="12" t="str">
        <f aca="false">IF(AND(AF$4&gt;=$I10,AF$4&lt;=$J10),"■","")</f>
        <v/>
      </c>
      <c r="AG10" s="12" t="str">
        <f aca="false">IF(AND(AG$4&gt;=$I10,AG$4&lt;=$J10),"■","")</f>
        <v/>
      </c>
      <c r="AH10" s="12" t="str">
        <f aca="false">IF(AND(AH$4&gt;=$I10,AH$4&lt;=$J10),"■","")</f>
        <v/>
      </c>
      <c r="AI10" s="12" t="str">
        <f aca="false">IF(AND(AI$4&gt;=$I10,AI$4&lt;=$J10),"■","")</f>
        <v>■</v>
      </c>
      <c r="AJ10" s="12" t="str">
        <f aca="false">IF(AND(AJ$4&gt;=$I10,AJ$4&lt;=$J10),"■","")</f>
        <v/>
      </c>
      <c r="AK10" s="12" t="str">
        <f aca="false">IF(AND(AK$4&gt;=$I10,AK$4&lt;=$J10),"■","")</f>
        <v/>
      </c>
      <c r="AL10" s="12" t="str">
        <f aca="false">IF(AND(AL$4&gt;=$I10,AL$4&lt;=$J10),"■","")</f>
        <v/>
      </c>
      <c r="AM10" s="12" t="str">
        <f aca="false">IF(AND(AM$4&gt;=$I10,AM$4&lt;=$J10),"■","")</f>
        <v/>
      </c>
      <c r="AN10" s="12" t="str">
        <f aca="false">IF(AND(AN$4&gt;=$I10,AN$4&lt;=$J10),"■","")</f>
        <v/>
      </c>
      <c r="AO10" s="12" t="str">
        <f aca="false">IF(AND(AO$4&gt;=$I10,AO$4&lt;=$J10),"■","")</f>
        <v/>
      </c>
      <c r="AP10" s="12" t="str">
        <f aca="false">IF(AND(AP$4&gt;=$I10,AP$4&lt;=$J10),"■","")</f>
        <v/>
      </c>
    </row>
    <row r="11" customFormat="false" ht="27.75" hidden="false" customHeight="true" outlineLevel="0" collapsed="false">
      <c r="A11" s="7" t="s">
        <v>36</v>
      </c>
      <c r="B11" s="7" t="s">
        <v>33</v>
      </c>
      <c r="C11" s="7" t="s">
        <v>37</v>
      </c>
      <c r="D11" s="8" t="s">
        <v>35</v>
      </c>
      <c r="E11" s="8" t="n">
        <v>3</v>
      </c>
      <c r="F11" s="8" t="s">
        <v>32</v>
      </c>
      <c r="G11" s="8" t="s">
        <v>28</v>
      </c>
      <c r="H11" s="9" t="n">
        <v>0</v>
      </c>
      <c r="I11" s="10" t="n">
        <v>25</v>
      </c>
      <c r="J11" s="11" t="n">
        <f aca="false">IF(OR(I11="",E11=""),"",I11+E11-1)</f>
        <v>27</v>
      </c>
      <c r="K11" s="7"/>
      <c r="L11" s="12" t="str">
        <f aca="false">IF(AND(L$4&gt;=$I11,L$4&lt;=$J11),"■","")</f>
        <v/>
      </c>
      <c r="M11" s="12" t="str">
        <f aca="false">IF(AND(M$4&gt;=$I11,M$4&lt;=$J11),"■","")</f>
        <v/>
      </c>
      <c r="N11" s="12" t="str">
        <f aca="false">IF(AND(N$4&gt;=$I11,N$4&lt;=$J11),"■","")</f>
        <v/>
      </c>
      <c r="O11" s="12" t="str">
        <f aca="false">IF(AND(O$4&gt;=$I11,O$4&lt;=$J11),"■","")</f>
        <v/>
      </c>
      <c r="P11" s="12" t="str">
        <f aca="false">IF(AND(P$4&gt;=$I11,P$4&lt;=$J11),"■","")</f>
        <v/>
      </c>
      <c r="Q11" s="12" t="str">
        <f aca="false">IF(AND(Q$4&gt;=$I11,Q$4&lt;=$J11),"■","")</f>
        <v/>
      </c>
      <c r="R11" s="12" t="str">
        <f aca="false">IF(AND(R$4&gt;=$I11,R$4&lt;=$J11),"■","")</f>
        <v/>
      </c>
      <c r="S11" s="12" t="str">
        <f aca="false">IF(AND(S$4&gt;=$I11,S$4&lt;=$J11),"■","")</f>
        <v/>
      </c>
      <c r="T11" s="12" t="str">
        <f aca="false">IF(AND(T$4&gt;=$I11,T$4&lt;=$J11),"■","")</f>
        <v/>
      </c>
      <c r="U11" s="12" t="str">
        <f aca="false">IF(AND(U$4&gt;=$I11,U$4&lt;=$J11),"■","")</f>
        <v/>
      </c>
      <c r="V11" s="12" t="str">
        <f aca="false">IF(AND(V$4&gt;=$I11,V$4&lt;=$J11),"■","")</f>
        <v/>
      </c>
      <c r="W11" s="12" t="str">
        <f aca="false">IF(AND(W$4&gt;=$I11,W$4&lt;=$J11),"■","")</f>
        <v/>
      </c>
      <c r="X11" s="12" t="str">
        <f aca="false">IF(AND(X$4&gt;=$I11,X$4&lt;=$J11),"■","")</f>
        <v/>
      </c>
      <c r="Y11" s="12" t="str">
        <f aca="false">IF(AND(Y$4&gt;=$I11,Y$4&lt;=$J11),"■","")</f>
        <v/>
      </c>
      <c r="Z11" s="12" t="str">
        <f aca="false">IF(AND(Z$4&gt;=$I11,Z$4&lt;=$J11),"■","")</f>
        <v/>
      </c>
      <c r="AA11" s="12" t="str">
        <f aca="false">IF(AND(AA$4&gt;=$I11,AA$4&lt;=$J11),"■","")</f>
        <v/>
      </c>
      <c r="AB11" s="12" t="str">
        <f aca="false">IF(AND(AB$4&gt;=$I11,AB$4&lt;=$J11),"■","")</f>
        <v/>
      </c>
      <c r="AC11" s="12" t="str">
        <f aca="false">IF(AND(AC$4&gt;=$I11,AC$4&lt;=$J11),"■","")</f>
        <v/>
      </c>
      <c r="AD11" s="12" t="str">
        <f aca="false">IF(AND(AD$4&gt;=$I11,AD$4&lt;=$J11),"■","")</f>
        <v/>
      </c>
      <c r="AE11" s="12" t="str">
        <f aca="false">IF(AND(AE$4&gt;=$I11,AE$4&lt;=$J11),"■","")</f>
        <v/>
      </c>
      <c r="AF11" s="12" t="str">
        <f aca="false">IF(AND(AF$4&gt;=$I11,AF$4&lt;=$J11),"■","")</f>
        <v/>
      </c>
      <c r="AG11" s="12" t="str">
        <f aca="false">IF(AND(AG$4&gt;=$I11,AG$4&lt;=$J11),"■","")</f>
        <v/>
      </c>
      <c r="AH11" s="12" t="str">
        <f aca="false">IF(AND(AH$4&gt;=$I11,AH$4&lt;=$J11),"■","")</f>
        <v/>
      </c>
      <c r="AI11" s="12" t="str">
        <f aca="false">IF(AND(AI$4&gt;=$I11,AI$4&lt;=$J11),"■","")</f>
        <v/>
      </c>
      <c r="AJ11" s="12" t="str">
        <f aca="false">IF(AND(AJ$4&gt;=$I11,AJ$4&lt;=$J11),"■","")</f>
        <v>■</v>
      </c>
      <c r="AK11" s="12" t="str">
        <f aca="false">IF(AND(AK$4&gt;=$I11,AK$4&lt;=$J11),"■","")</f>
        <v>■</v>
      </c>
      <c r="AL11" s="12" t="str">
        <f aca="false">IF(AND(AL$4&gt;=$I11,AL$4&lt;=$J11),"■","")</f>
        <v>■</v>
      </c>
      <c r="AM11" s="12" t="str">
        <f aca="false">IF(AND(AM$4&gt;=$I11,AM$4&lt;=$J11),"■","")</f>
        <v/>
      </c>
      <c r="AN11" s="12" t="str">
        <f aca="false">IF(AND(AN$4&gt;=$I11,AN$4&lt;=$J11),"■","")</f>
        <v/>
      </c>
      <c r="AO11" s="12" t="str">
        <f aca="false">IF(AND(AO$4&gt;=$I11,AO$4&lt;=$J11),"■","")</f>
        <v/>
      </c>
      <c r="AP11" s="12" t="str">
        <f aca="false">IF(AND(AP$4&gt;=$I11,AP$4&lt;=$J11),"■","")</f>
        <v/>
      </c>
    </row>
    <row r="12" customFormat="false" ht="27.75" hidden="false" customHeight="true" outlineLevel="0" collapsed="false">
      <c r="A12" s="7" t="s">
        <v>38</v>
      </c>
      <c r="B12" s="7" t="s">
        <v>33</v>
      </c>
      <c r="C12" s="7" t="s">
        <v>39</v>
      </c>
      <c r="D12" s="8" t="s">
        <v>35</v>
      </c>
      <c r="E12" s="8" t="n">
        <v>3</v>
      </c>
      <c r="F12" s="8" t="s">
        <v>36</v>
      </c>
      <c r="G12" s="8" t="s">
        <v>28</v>
      </c>
      <c r="H12" s="9" t="n">
        <v>0</v>
      </c>
      <c r="I12" s="10" t="n">
        <v>28</v>
      </c>
      <c r="J12" s="11" t="n">
        <f aca="false">IF(OR(I12="",E12=""),"",I12+E12-1)</f>
        <v>30</v>
      </c>
      <c r="K12" s="7"/>
      <c r="L12" s="12" t="str">
        <f aca="false">IF(AND(L$4&gt;=$I12,L$4&lt;=$J12),"■","")</f>
        <v/>
      </c>
      <c r="M12" s="12" t="str">
        <f aca="false">IF(AND(M$4&gt;=$I12,M$4&lt;=$J12),"■","")</f>
        <v/>
      </c>
      <c r="N12" s="12" t="str">
        <f aca="false">IF(AND(N$4&gt;=$I12,N$4&lt;=$J12),"■","")</f>
        <v/>
      </c>
      <c r="O12" s="12" t="str">
        <f aca="false">IF(AND(O$4&gt;=$I12,O$4&lt;=$J12),"■","")</f>
        <v/>
      </c>
      <c r="P12" s="12" t="str">
        <f aca="false">IF(AND(P$4&gt;=$I12,P$4&lt;=$J12),"■","")</f>
        <v/>
      </c>
      <c r="Q12" s="12" t="str">
        <f aca="false">IF(AND(Q$4&gt;=$I12,Q$4&lt;=$J12),"■","")</f>
        <v/>
      </c>
      <c r="R12" s="12" t="str">
        <f aca="false">IF(AND(R$4&gt;=$I12,R$4&lt;=$J12),"■","")</f>
        <v/>
      </c>
      <c r="S12" s="12" t="str">
        <f aca="false">IF(AND(S$4&gt;=$I12,S$4&lt;=$J12),"■","")</f>
        <v/>
      </c>
      <c r="T12" s="12" t="str">
        <f aca="false">IF(AND(T$4&gt;=$I12,T$4&lt;=$J12),"■","")</f>
        <v/>
      </c>
      <c r="U12" s="12" t="str">
        <f aca="false">IF(AND(U$4&gt;=$I12,U$4&lt;=$J12),"■","")</f>
        <v/>
      </c>
      <c r="V12" s="12" t="str">
        <f aca="false">IF(AND(V$4&gt;=$I12,V$4&lt;=$J12),"■","")</f>
        <v/>
      </c>
      <c r="W12" s="12" t="str">
        <f aca="false">IF(AND(W$4&gt;=$I12,W$4&lt;=$J12),"■","")</f>
        <v/>
      </c>
      <c r="X12" s="12" t="str">
        <f aca="false">IF(AND(X$4&gt;=$I12,X$4&lt;=$J12),"■","")</f>
        <v/>
      </c>
      <c r="Y12" s="12" t="str">
        <f aca="false">IF(AND(Y$4&gt;=$I12,Y$4&lt;=$J12),"■","")</f>
        <v/>
      </c>
      <c r="Z12" s="12" t="str">
        <f aca="false">IF(AND(Z$4&gt;=$I12,Z$4&lt;=$J12),"■","")</f>
        <v/>
      </c>
      <c r="AA12" s="12" t="str">
        <f aca="false">IF(AND(AA$4&gt;=$I12,AA$4&lt;=$J12),"■","")</f>
        <v/>
      </c>
      <c r="AB12" s="12" t="str">
        <f aca="false">IF(AND(AB$4&gt;=$I12,AB$4&lt;=$J12),"■","")</f>
        <v/>
      </c>
      <c r="AC12" s="12" t="str">
        <f aca="false">IF(AND(AC$4&gt;=$I12,AC$4&lt;=$J12),"■","")</f>
        <v/>
      </c>
      <c r="AD12" s="12" t="str">
        <f aca="false">IF(AND(AD$4&gt;=$I12,AD$4&lt;=$J12),"■","")</f>
        <v/>
      </c>
      <c r="AE12" s="12" t="str">
        <f aca="false">IF(AND(AE$4&gt;=$I12,AE$4&lt;=$J12),"■","")</f>
        <v/>
      </c>
      <c r="AF12" s="12" t="str">
        <f aca="false">IF(AND(AF$4&gt;=$I12,AF$4&lt;=$J12),"■","")</f>
        <v/>
      </c>
      <c r="AG12" s="12" t="str">
        <f aca="false">IF(AND(AG$4&gt;=$I12,AG$4&lt;=$J12),"■","")</f>
        <v/>
      </c>
      <c r="AH12" s="12" t="str">
        <f aca="false">IF(AND(AH$4&gt;=$I12,AH$4&lt;=$J12),"■","")</f>
        <v/>
      </c>
      <c r="AI12" s="12" t="str">
        <f aca="false">IF(AND(AI$4&gt;=$I12,AI$4&lt;=$J12),"■","")</f>
        <v/>
      </c>
      <c r="AJ12" s="12" t="str">
        <f aca="false">IF(AND(AJ$4&gt;=$I12,AJ$4&lt;=$J12),"■","")</f>
        <v/>
      </c>
      <c r="AK12" s="12" t="str">
        <f aca="false">IF(AND(AK$4&gt;=$I12,AK$4&lt;=$J12),"■","")</f>
        <v/>
      </c>
      <c r="AL12" s="12" t="str">
        <f aca="false">IF(AND(AL$4&gt;=$I12,AL$4&lt;=$J12),"■","")</f>
        <v/>
      </c>
      <c r="AM12" s="12" t="str">
        <f aca="false">IF(AND(AM$4&gt;=$I12,AM$4&lt;=$J12),"■","")</f>
        <v>■</v>
      </c>
      <c r="AN12" s="12" t="str">
        <f aca="false">IF(AND(AN$4&gt;=$I12,AN$4&lt;=$J12),"■","")</f>
        <v>■</v>
      </c>
      <c r="AO12" s="12" t="str">
        <f aca="false">IF(AND(AO$4&gt;=$I12,AO$4&lt;=$J12),"■","")</f>
        <v>■</v>
      </c>
      <c r="AP12" s="12" t="str">
        <f aca="false">IF(AND(AP$4&gt;=$I12,AP$4&lt;=$J12),"■","")</f>
        <v/>
      </c>
    </row>
    <row r="13" customFormat="false" ht="27.75" hidden="false" customHeight="true" outlineLevel="0" collapsed="false">
      <c r="A13" s="7" t="s">
        <v>21</v>
      </c>
      <c r="B13" s="7" t="s">
        <v>40</v>
      </c>
      <c r="C13" s="7" t="s">
        <v>41</v>
      </c>
      <c r="D13" s="8" t="s">
        <v>16</v>
      </c>
      <c r="E13" s="8" t="n">
        <v>1</v>
      </c>
      <c r="F13" s="8" t="s">
        <v>13</v>
      </c>
      <c r="G13" s="8" t="s">
        <v>18</v>
      </c>
      <c r="H13" s="9" t="n">
        <v>100</v>
      </c>
      <c r="I13" s="10" t="n">
        <v>4</v>
      </c>
      <c r="J13" s="11" t="n">
        <f aca="false">IF(OR(I13="",E13=""),"",I13+E13-1)</f>
        <v>4</v>
      </c>
      <c r="K13" s="7"/>
      <c r="L13" s="12" t="str">
        <f aca="false">IF(AND(L$4&gt;=$I13,L$4&lt;=$J13),"■","")</f>
        <v/>
      </c>
      <c r="M13" s="12" t="str">
        <f aca="false">IF(AND(M$4&gt;=$I13,M$4&lt;=$J13),"■","")</f>
        <v/>
      </c>
      <c r="N13" s="12" t="str">
        <f aca="false">IF(AND(N$4&gt;=$I13,N$4&lt;=$J13),"■","")</f>
        <v/>
      </c>
      <c r="O13" s="12" t="str">
        <f aca="false">IF(AND(O$4&gt;=$I13,O$4&lt;=$J13),"■","")</f>
        <v>■</v>
      </c>
      <c r="P13" s="12" t="str">
        <f aca="false">IF(AND(P$4&gt;=$I13,P$4&lt;=$J13),"■","")</f>
        <v/>
      </c>
      <c r="Q13" s="12" t="str">
        <f aca="false">IF(AND(Q$4&gt;=$I13,Q$4&lt;=$J13),"■","")</f>
        <v/>
      </c>
      <c r="R13" s="12" t="str">
        <f aca="false">IF(AND(R$4&gt;=$I13,R$4&lt;=$J13),"■","")</f>
        <v/>
      </c>
      <c r="S13" s="12" t="str">
        <f aca="false">IF(AND(S$4&gt;=$I13,S$4&lt;=$J13),"■","")</f>
        <v/>
      </c>
      <c r="T13" s="12" t="str">
        <f aca="false">IF(AND(T$4&gt;=$I13,T$4&lt;=$J13),"■","")</f>
        <v/>
      </c>
      <c r="U13" s="12" t="str">
        <f aca="false">IF(AND(U$4&gt;=$I13,U$4&lt;=$J13),"■","")</f>
        <v/>
      </c>
      <c r="V13" s="12" t="str">
        <f aca="false">IF(AND(V$4&gt;=$I13,V$4&lt;=$J13),"■","")</f>
        <v/>
      </c>
      <c r="W13" s="12" t="str">
        <f aca="false">IF(AND(W$4&gt;=$I13,W$4&lt;=$J13),"■","")</f>
        <v/>
      </c>
      <c r="X13" s="12" t="str">
        <f aca="false">IF(AND(X$4&gt;=$I13,X$4&lt;=$J13),"■","")</f>
        <v/>
      </c>
      <c r="Y13" s="12" t="str">
        <f aca="false">IF(AND(Y$4&gt;=$I13,Y$4&lt;=$J13),"■","")</f>
        <v/>
      </c>
      <c r="Z13" s="12" t="str">
        <f aca="false">IF(AND(Z$4&gt;=$I13,Z$4&lt;=$J13),"■","")</f>
        <v/>
      </c>
      <c r="AA13" s="12" t="str">
        <f aca="false">IF(AND(AA$4&gt;=$I13,AA$4&lt;=$J13),"■","")</f>
        <v/>
      </c>
      <c r="AB13" s="12" t="str">
        <f aca="false">IF(AND(AB$4&gt;=$I13,AB$4&lt;=$J13),"■","")</f>
        <v/>
      </c>
      <c r="AC13" s="12" t="str">
        <f aca="false">IF(AND(AC$4&gt;=$I13,AC$4&lt;=$J13),"■","")</f>
        <v/>
      </c>
      <c r="AD13" s="12" t="str">
        <f aca="false">IF(AND(AD$4&gt;=$I13,AD$4&lt;=$J13),"■","")</f>
        <v/>
      </c>
      <c r="AE13" s="12" t="str">
        <f aca="false">IF(AND(AE$4&gt;=$I13,AE$4&lt;=$J13),"■","")</f>
        <v/>
      </c>
      <c r="AF13" s="12" t="str">
        <f aca="false">IF(AND(AF$4&gt;=$I13,AF$4&lt;=$J13),"■","")</f>
        <v/>
      </c>
      <c r="AG13" s="12" t="str">
        <f aca="false">IF(AND(AG$4&gt;=$I13,AG$4&lt;=$J13),"■","")</f>
        <v/>
      </c>
      <c r="AH13" s="12" t="str">
        <f aca="false">IF(AND(AH$4&gt;=$I13,AH$4&lt;=$J13),"■","")</f>
        <v/>
      </c>
      <c r="AI13" s="12" t="str">
        <f aca="false">IF(AND(AI$4&gt;=$I13,AI$4&lt;=$J13),"■","")</f>
        <v/>
      </c>
      <c r="AJ13" s="12" t="str">
        <f aca="false">IF(AND(AJ$4&gt;=$I13,AJ$4&lt;=$J13),"■","")</f>
        <v/>
      </c>
      <c r="AK13" s="12" t="str">
        <f aca="false">IF(AND(AK$4&gt;=$I13,AK$4&lt;=$J13),"■","")</f>
        <v/>
      </c>
      <c r="AL13" s="12" t="str">
        <f aca="false">IF(AND(AL$4&gt;=$I13,AL$4&lt;=$J13),"■","")</f>
        <v/>
      </c>
      <c r="AM13" s="12" t="str">
        <f aca="false">IF(AND(AM$4&gt;=$I13,AM$4&lt;=$J13),"■","")</f>
        <v/>
      </c>
      <c r="AN13" s="12" t="str">
        <f aca="false">IF(AND(AN$4&gt;=$I13,AN$4&lt;=$J13),"■","")</f>
        <v/>
      </c>
      <c r="AO13" s="12" t="str">
        <f aca="false">IF(AND(AO$4&gt;=$I13,AO$4&lt;=$J13),"■","")</f>
        <v/>
      </c>
      <c r="AP13" s="12" t="str">
        <f aca="false">IF(AND(AP$4&gt;=$I13,AP$4&lt;=$J13),"■","")</f>
        <v/>
      </c>
    </row>
    <row r="14" customFormat="false" ht="27.75" hidden="false" customHeight="true" outlineLevel="0" collapsed="false">
      <c r="A14" s="7" t="s">
        <v>42</v>
      </c>
      <c r="B14" s="7" t="s">
        <v>40</v>
      </c>
      <c r="C14" s="7" t="s">
        <v>43</v>
      </c>
      <c r="D14" s="8" t="s">
        <v>16</v>
      </c>
      <c r="E14" s="8" t="n">
        <v>2</v>
      </c>
      <c r="F14" s="8" t="s">
        <v>19</v>
      </c>
      <c r="G14" s="8" t="s">
        <v>28</v>
      </c>
      <c r="H14" s="9" t="n">
        <v>0</v>
      </c>
      <c r="I14" s="10" t="n">
        <v>24</v>
      </c>
      <c r="J14" s="11" t="n">
        <f aca="false">IF(OR(I14="",E14=""),"",I14+E14-1)</f>
        <v>25</v>
      </c>
      <c r="K14" s="7"/>
      <c r="L14" s="12" t="str">
        <f aca="false">IF(AND(L$4&gt;=$I14,L$4&lt;=$J14),"■","")</f>
        <v/>
      </c>
      <c r="M14" s="12" t="str">
        <f aca="false">IF(AND(M$4&gt;=$I14,M$4&lt;=$J14),"■","")</f>
        <v/>
      </c>
      <c r="N14" s="12" t="str">
        <f aca="false">IF(AND(N$4&gt;=$I14,N$4&lt;=$J14),"■","")</f>
        <v/>
      </c>
      <c r="O14" s="12" t="str">
        <f aca="false">IF(AND(O$4&gt;=$I14,O$4&lt;=$J14),"■","")</f>
        <v/>
      </c>
      <c r="P14" s="12" t="str">
        <f aca="false">IF(AND(P$4&gt;=$I14,P$4&lt;=$J14),"■","")</f>
        <v/>
      </c>
      <c r="Q14" s="12" t="str">
        <f aca="false">IF(AND(Q$4&gt;=$I14,Q$4&lt;=$J14),"■","")</f>
        <v/>
      </c>
      <c r="R14" s="12" t="str">
        <f aca="false">IF(AND(R$4&gt;=$I14,R$4&lt;=$J14),"■","")</f>
        <v/>
      </c>
      <c r="S14" s="12" t="str">
        <f aca="false">IF(AND(S$4&gt;=$I14,S$4&lt;=$J14),"■","")</f>
        <v/>
      </c>
      <c r="T14" s="12" t="str">
        <f aca="false">IF(AND(T$4&gt;=$I14,T$4&lt;=$J14),"■","")</f>
        <v/>
      </c>
      <c r="U14" s="12" t="str">
        <f aca="false">IF(AND(U$4&gt;=$I14,U$4&lt;=$J14),"■","")</f>
        <v/>
      </c>
      <c r="V14" s="12" t="str">
        <f aca="false">IF(AND(V$4&gt;=$I14,V$4&lt;=$J14),"■","")</f>
        <v/>
      </c>
      <c r="W14" s="12" t="str">
        <f aca="false">IF(AND(W$4&gt;=$I14,W$4&lt;=$J14),"■","")</f>
        <v/>
      </c>
      <c r="X14" s="12" t="str">
        <f aca="false">IF(AND(X$4&gt;=$I14,X$4&lt;=$J14),"■","")</f>
        <v/>
      </c>
      <c r="Y14" s="12" t="str">
        <f aca="false">IF(AND(Y$4&gt;=$I14,Y$4&lt;=$J14),"■","")</f>
        <v/>
      </c>
      <c r="Z14" s="12" t="str">
        <f aca="false">IF(AND(Z$4&gt;=$I14,Z$4&lt;=$J14),"■","")</f>
        <v/>
      </c>
      <c r="AA14" s="12" t="str">
        <f aca="false">IF(AND(AA$4&gt;=$I14,AA$4&lt;=$J14),"■","")</f>
        <v/>
      </c>
      <c r="AB14" s="12" t="str">
        <f aca="false">IF(AND(AB$4&gt;=$I14,AB$4&lt;=$J14),"■","")</f>
        <v/>
      </c>
      <c r="AC14" s="12" t="str">
        <f aca="false">IF(AND(AC$4&gt;=$I14,AC$4&lt;=$J14),"■","")</f>
        <v/>
      </c>
      <c r="AD14" s="12" t="str">
        <f aca="false">IF(AND(AD$4&gt;=$I14,AD$4&lt;=$J14),"■","")</f>
        <v/>
      </c>
      <c r="AE14" s="12" t="str">
        <f aca="false">IF(AND(AE$4&gt;=$I14,AE$4&lt;=$J14),"■","")</f>
        <v/>
      </c>
      <c r="AF14" s="12" t="str">
        <f aca="false">IF(AND(AF$4&gt;=$I14,AF$4&lt;=$J14),"■","")</f>
        <v/>
      </c>
      <c r="AG14" s="12" t="str">
        <f aca="false">IF(AND(AG$4&gt;=$I14,AG$4&lt;=$J14),"■","")</f>
        <v/>
      </c>
      <c r="AH14" s="12" t="str">
        <f aca="false">IF(AND(AH$4&gt;=$I14,AH$4&lt;=$J14),"■","")</f>
        <v/>
      </c>
      <c r="AI14" s="12" t="str">
        <f aca="false">IF(AND(AI$4&gt;=$I14,AI$4&lt;=$J14),"■","")</f>
        <v>■</v>
      </c>
      <c r="AJ14" s="12" t="str">
        <f aca="false">IF(AND(AJ$4&gt;=$I14,AJ$4&lt;=$J14),"■","")</f>
        <v>■</v>
      </c>
      <c r="AK14" s="12" t="str">
        <f aca="false">IF(AND(AK$4&gt;=$I14,AK$4&lt;=$J14),"■","")</f>
        <v/>
      </c>
      <c r="AL14" s="12" t="str">
        <f aca="false">IF(AND(AL$4&gt;=$I14,AL$4&lt;=$J14),"■","")</f>
        <v/>
      </c>
      <c r="AM14" s="12" t="str">
        <f aca="false">IF(AND(AM$4&gt;=$I14,AM$4&lt;=$J14),"■","")</f>
        <v/>
      </c>
      <c r="AN14" s="12" t="str">
        <f aca="false">IF(AND(AN$4&gt;=$I14,AN$4&lt;=$J14),"■","")</f>
        <v/>
      </c>
      <c r="AO14" s="12" t="str">
        <f aca="false">IF(AND(AO$4&gt;=$I14,AO$4&lt;=$J14),"■","")</f>
        <v/>
      </c>
      <c r="AP14" s="12" t="str">
        <f aca="false">IF(AND(AP$4&gt;=$I14,AP$4&lt;=$J14),"■","")</f>
        <v/>
      </c>
    </row>
    <row r="15" customFormat="false" ht="27.75" hidden="false" customHeight="true" outlineLevel="0" collapsed="false">
      <c r="A15" s="7" t="s">
        <v>44</v>
      </c>
      <c r="B15" s="7" t="s">
        <v>45</v>
      </c>
      <c r="C15" s="7" t="s">
        <v>46</v>
      </c>
      <c r="D15" s="8" t="s">
        <v>47</v>
      </c>
      <c r="E15" s="8" t="n">
        <v>1</v>
      </c>
      <c r="F15" s="8" t="s">
        <v>38</v>
      </c>
      <c r="G15" s="8" t="s">
        <v>28</v>
      </c>
      <c r="H15" s="9" t="n">
        <v>0</v>
      </c>
      <c r="I15" s="10" t="n">
        <v>31</v>
      </c>
      <c r="J15" s="11" t="n">
        <f aca="false">IF(OR(I15="",E15=""),"",I15+E15-1)</f>
        <v>31</v>
      </c>
      <c r="K15" s="7"/>
      <c r="L15" s="12" t="str">
        <f aca="false">IF(AND(L$4&gt;=$I15,L$4&lt;=$J15),"■","")</f>
        <v/>
      </c>
      <c r="M15" s="12" t="str">
        <f aca="false">IF(AND(M$4&gt;=$I15,M$4&lt;=$J15),"■","")</f>
        <v/>
      </c>
      <c r="N15" s="12" t="str">
        <f aca="false">IF(AND(N$4&gt;=$I15,N$4&lt;=$J15),"■","")</f>
        <v/>
      </c>
      <c r="O15" s="12" t="str">
        <f aca="false">IF(AND(O$4&gt;=$I15,O$4&lt;=$J15),"■","")</f>
        <v/>
      </c>
      <c r="P15" s="12" t="str">
        <f aca="false">IF(AND(P$4&gt;=$I15,P$4&lt;=$J15),"■","")</f>
        <v/>
      </c>
      <c r="Q15" s="12" t="str">
        <f aca="false">IF(AND(Q$4&gt;=$I15,Q$4&lt;=$J15),"■","")</f>
        <v/>
      </c>
      <c r="R15" s="12" t="str">
        <f aca="false">IF(AND(R$4&gt;=$I15,R$4&lt;=$J15),"■","")</f>
        <v/>
      </c>
      <c r="S15" s="12" t="str">
        <f aca="false">IF(AND(S$4&gt;=$I15,S$4&lt;=$J15),"■","")</f>
        <v/>
      </c>
      <c r="T15" s="12" t="str">
        <f aca="false">IF(AND(T$4&gt;=$I15,T$4&lt;=$J15),"■","")</f>
        <v/>
      </c>
      <c r="U15" s="12" t="str">
        <f aca="false">IF(AND(U$4&gt;=$I15,U$4&lt;=$J15),"■","")</f>
        <v/>
      </c>
      <c r="V15" s="12" t="str">
        <f aca="false">IF(AND(V$4&gt;=$I15,V$4&lt;=$J15),"■","")</f>
        <v/>
      </c>
      <c r="W15" s="12" t="str">
        <f aca="false">IF(AND(W$4&gt;=$I15,W$4&lt;=$J15),"■","")</f>
        <v/>
      </c>
      <c r="X15" s="12" t="str">
        <f aca="false">IF(AND(X$4&gt;=$I15,X$4&lt;=$J15),"■","")</f>
        <v/>
      </c>
      <c r="Y15" s="12" t="str">
        <f aca="false">IF(AND(Y$4&gt;=$I15,Y$4&lt;=$J15),"■","")</f>
        <v/>
      </c>
      <c r="Z15" s="12" t="str">
        <f aca="false">IF(AND(Z$4&gt;=$I15,Z$4&lt;=$J15),"■","")</f>
        <v/>
      </c>
      <c r="AA15" s="12" t="str">
        <f aca="false">IF(AND(AA$4&gt;=$I15,AA$4&lt;=$J15),"■","")</f>
        <v/>
      </c>
      <c r="AB15" s="12" t="str">
        <f aca="false">IF(AND(AB$4&gt;=$I15,AB$4&lt;=$J15),"■","")</f>
        <v/>
      </c>
      <c r="AC15" s="12" t="str">
        <f aca="false">IF(AND(AC$4&gt;=$I15,AC$4&lt;=$J15),"■","")</f>
        <v/>
      </c>
      <c r="AD15" s="12" t="str">
        <f aca="false">IF(AND(AD$4&gt;=$I15,AD$4&lt;=$J15),"■","")</f>
        <v/>
      </c>
      <c r="AE15" s="12" t="str">
        <f aca="false">IF(AND(AE$4&gt;=$I15,AE$4&lt;=$J15),"■","")</f>
        <v/>
      </c>
      <c r="AF15" s="12" t="str">
        <f aca="false">IF(AND(AF$4&gt;=$I15,AF$4&lt;=$J15),"■","")</f>
        <v/>
      </c>
      <c r="AG15" s="12" t="str">
        <f aca="false">IF(AND(AG$4&gt;=$I15,AG$4&lt;=$J15),"■","")</f>
        <v/>
      </c>
      <c r="AH15" s="12" t="str">
        <f aca="false">IF(AND(AH$4&gt;=$I15,AH$4&lt;=$J15),"■","")</f>
        <v/>
      </c>
      <c r="AI15" s="12" t="str">
        <f aca="false">IF(AND(AI$4&gt;=$I15,AI$4&lt;=$J15),"■","")</f>
        <v/>
      </c>
      <c r="AJ15" s="12" t="str">
        <f aca="false">IF(AND(AJ$4&gt;=$I15,AJ$4&lt;=$J15),"■","")</f>
        <v/>
      </c>
      <c r="AK15" s="12" t="str">
        <f aca="false">IF(AND(AK$4&gt;=$I15,AK$4&lt;=$J15),"■","")</f>
        <v/>
      </c>
      <c r="AL15" s="12" t="str">
        <f aca="false">IF(AND(AL$4&gt;=$I15,AL$4&lt;=$J15),"■","")</f>
        <v/>
      </c>
      <c r="AM15" s="12" t="str">
        <f aca="false">IF(AND(AM$4&gt;=$I15,AM$4&lt;=$J15),"■","")</f>
        <v/>
      </c>
      <c r="AN15" s="12" t="str">
        <f aca="false">IF(AND(AN$4&gt;=$I15,AN$4&lt;=$J15),"■","")</f>
        <v/>
      </c>
      <c r="AO15" s="12" t="str">
        <f aca="false">IF(AND(AO$4&gt;=$I15,AO$4&lt;=$J15),"■","")</f>
        <v/>
      </c>
      <c r="AP15" s="12" t="str">
        <f aca="false">IF(AND(AP$4&gt;=$I15,AP$4&lt;=$J15),"■","")</f>
        <v>■</v>
      </c>
    </row>
    <row r="16" customFormat="false" ht="27.75" hidden="false" customHeight="true" outlineLevel="0" collapsed="false">
      <c r="A16" s="7" t="s">
        <v>48</v>
      </c>
      <c r="B16" s="7" t="s">
        <v>49</v>
      </c>
      <c r="C16" s="7" t="s">
        <v>50</v>
      </c>
      <c r="D16" s="8" t="s">
        <v>26</v>
      </c>
      <c r="E16" s="8" t="n">
        <v>1</v>
      </c>
      <c r="F16" s="8" t="s">
        <v>44</v>
      </c>
      <c r="G16" s="8" t="s">
        <v>28</v>
      </c>
      <c r="H16" s="9" t="n">
        <v>0</v>
      </c>
      <c r="I16" s="10" t="n">
        <v>31</v>
      </c>
      <c r="J16" s="11" t="n">
        <f aca="false">IF(OR(I16="",E16=""),"",I16+E16-1)</f>
        <v>31</v>
      </c>
      <c r="K16" s="7"/>
      <c r="L16" s="12" t="str">
        <f aca="false">IF(AND(L$4&gt;=$I16,L$4&lt;=$J16),"■","")</f>
        <v/>
      </c>
      <c r="M16" s="12" t="str">
        <f aca="false">IF(AND(M$4&gt;=$I16,M$4&lt;=$J16),"■","")</f>
        <v/>
      </c>
      <c r="N16" s="12" t="str">
        <f aca="false">IF(AND(N$4&gt;=$I16,N$4&lt;=$J16),"■","")</f>
        <v/>
      </c>
      <c r="O16" s="12" t="str">
        <f aca="false">IF(AND(O$4&gt;=$I16,O$4&lt;=$J16),"■","")</f>
        <v/>
      </c>
      <c r="P16" s="12" t="str">
        <f aca="false">IF(AND(P$4&gt;=$I16,P$4&lt;=$J16),"■","")</f>
        <v/>
      </c>
      <c r="Q16" s="12" t="str">
        <f aca="false">IF(AND(Q$4&gt;=$I16,Q$4&lt;=$J16),"■","")</f>
        <v/>
      </c>
      <c r="R16" s="12" t="str">
        <f aca="false">IF(AND(R$4&gt;=$I16,R$4&lt;=$J16),"■","")</f>
        <v/>
      </c>
      <c r="S16" s="12" t="str">
        <f aca="false">IF(AND(S$4&gt;=$I16,S$4&lt;=$J16),"■","")</f>
        <v/>
      </c>
      <c r="T16" s="12" t="str">
        <f aca="false">IF(AND(T$4&gt;=$I16,T$4&lt;=$J16),"■","")</f>
        <v/>
      </c>
      <c r="U16" s="12" t="str">
        <f aca="false">IF(AND(U$4&gt;=$I16,U$4&lt;=$J16),"■","")</f>
        <v/>
      </c>
      <c r="V16" s="12" t="str">
        <f aca="false">IF(AND(V$4&gt;=$I16,V$4&lt;=$J16),"■","")</f>
        <v/>
      </c>
      <c r="W16" s="12" t="str">
        <f aca="false">IF(AND(W$4&gt;=$I16,W$4&lt;=$J16),"■","")</f>
        <v/>
      </c>
      <c r="X16" s="12" t="str">
        <f aca="false">IF(AND(X$4&gt;=$I16,X$4&lt;=$J16),"■","")</f>
        <v/>
      </c>
      <c r="Y16" s="12" t="str">
        <f aca="false">IF(AND(Y$4&gt;=$I16,Y$4&lt;=$J16),"■","")</f>
        <v/>
      </c>
      <c r="Z16" s="12" t="str">
        <f aca="false">IF(AND(Z$4&gt;=$I16,Z$4&lt;=$J16),"■","")</f>
        <v/>
      </c>
      <c r="AA16" s="12" t="str">
        <f aca="false">IF(AND(AA$4&gt;=$I16,AA$4&lt;=$J16),"■","")</f>
        <v/>
      </c>
      <c r="AB16" s="12" t="str">
        <f aca="false">IF(AND(AB$4&gt;=$I16,AB$4&lt;=$J16),"■","")</f>
        <v/>
      </c>
      <c r="AC16" s="12" t="str">
        <f aca="false">IF(AND(AC$4&gt;=$I16,AC$4&lt;=$J16),"■","")</f>
        <v/>
      </c>
      <c r="AD16" s="12" t="str">
        <f aca="false">IF(AND(AD$4&gt;=$I16,AD$4&lt;=$J16),"■","")</f>
        <v/>
      </c>
      <c r="AE16" s="12" t="str">
        <f aca="false">IF(AND(AE$4&gt;=$I16,AE$4&lt;=$J16),"■","")</f>
        <v/>
      </c>
      <c r="AF16" s="12" t="str">
        <f aca="false">IF(AND(AF$4&gt;=$I16,AF$4&lt;=$J16),"■","")</f>
        <v/>
      </c>
      <c r="AG16" s="12" t="str">
        <f aca="false">IF(AND(AG$4&gt;=$I16,AG$4&lt;=$J16),"■","")</f>
        <v/>
      </c>
      <c r="AH16" s="12" t="str">
        <f aca="false">IF(AND(AH$4&gt;=$I16,AH$4&lt;=$J16),"■","")</f>
        <v/>
      </c>
      <c r="AI16" s="12" t="str">
        <f aca="false">IF(AND(AI$4&gt;=$I16,AI$4&lt;=$J16),"■","")</f>
        <v/>
      </c>
      <c r="AJ16" s="12" t="str">
        <f aca="false">IF(AND(AJ$4&gt;=$I16,AJ$4&lt;=$J16),"■","")</f>
        <v/>
      </c>
      <c r="AK16" s="12" t="str">
        <f aca="false">IF(AND(AK$4&gt;=$I16,AK$4&lt;=$J16),"■","")</f>
        <v/>
      </c>
      <c r="AL16" s="12" t="str">
        <f aca="false">IF(AND(AL$4&gt;=$I16,AL$4&lt;=$J16),"■","")</f>
        <v/>
      </c>
      <c r="AM16" s="12" t="str">
        <f aca="false">IF(AND(AM$4&gt;=$I16,AM$4&lt;=$J16),"■","")</f>
        <v/>
      </c>
      <c r="AN16" s="12" t="str">
        <f aca="false">IF(AND(AN$4&gt;=$I16,AN$4&lt;=$J16),"■","")</f>
        <v/>
      </c>
      <c r="AO16" s="12" t="str">
        <f aca="false">IF(AND(AO$4&gt;=$I16,AO$4&lt;=$J16),"■","")</f>
        <v/>
      </c>
      <c r="AP16" s="12" t="str">
        <f aca="false">IF(AND(AP$4&gt;=$I16,AP$4&lt;=$J16),"■","")</f>
        <v>■</v>
      </c>
    </row>
    <row r="17" customFormat="false" ht="15" hidden="false" customHeight="false" outlineLevel="0" collapsed="false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</row>
    <row r="18" customFormat="false" ht="15" hidden="false" customHeight="true" outlineLevel="0" collapsed="false">
      <c r="A18" s="13" t="s">
        <v>51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2:AP2"/>
    <mergeCell ref="A3:K3"/>
    <mergeCell ref="A18:K18"/>
  </mergeCells>
  <conditionalFormatting sqref="G5:G16">
    <cfRule type="containsText" priority="2" operator="containsText" aboveAverage="0" equalAverage="0" bottom="0" percent="0" rank="0" text="Terminé" dxfId="0">
      <formula>NOT(ISERROR(SEARCH("Terminé",G5)))</formula>
    </cfRule>
  </conditionalFormatting>
  <conditionalFormatting sqref="G5:G16">
    <cfRule type="containsText" priority="3" operator="containsText" aboveAverage="0" equalAverage="0" bottom="0" percent="0" rank="0" text="Bloqué" dxfId="1">
      <formula>NOT(ISERROR(SEARCH("Bloqué",G5)))</formula>
    </cfRule>
  </conditionalFormatting>
  <conditionalFormatting sqref="G5:G16">
    <cfRule type="containsText" priority="4" operator="containsText" aboveAverage="0" equalAverage="0" bottom="0" percent="0" rank="0" text="En cours" dxfId="2">
      <formula>NOT(ISERROR(SEARCH("En cours",G5)))</formula>
    </cfRule>
  </conditionalFormatting>
  <conditionalFormatting sqref="L5:AP16">
    <cfRule type="containsText" priority="5" operator="containsText" aboveAverage="0" equalAverage="0" bottom="0" percent="0" rank="0" text="■" dxfId="3">
      <formula>NOT(ISERROR(SEARCH("■",L5)))</formula>
    </cfRule>
  </conditionalFormatting>
  <dataValidations count="4">
    <dataValidation allowBlank="true" errorStyle="stop" operator="between" showDropDown="false" showErrorMessage="false" showInputMessage="false" sqref="I5:I16" type="decimal">
      <formula1>1</formula1>
      <formula2>31</formula2>
    </dataValidation>
    <dataValidation allowBlank="true" errorStyle="stop" operator="between" showDropDown="false" showErrorMessage="false" showInputMessage="false" sqref="E5:E16" type="decimal">
      <formula1>1</formula1>
      <formula2>10</formula2>
    </dataValidation>
    <dataValidation allowBlank="true" errorStyle="stop" operator="between" showDropDown="false" showErrorMessage="false" showInputMessage="false" sqref="H5:H16" type="decimal">
      <formula1>0</formula1>
      <formula2>100</formula2>
    </dataValidation>
    <dataValidation allowBlank="true" errorStyle="stop" operator="between" showDropDown="false" showErrorMessage="false" showInputMessage="false" sqref="G5:G16" type="list">
      <formula1>"À faire,En cours,Terminé,Bloqué"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B7280"/>
    <pageSetUpPr fitToPage="false"/>
  </sheetPr>
  <dimension ref="A1:H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H16" activeCellId="0" sqref="H16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4" min="2" style="0" width="13"/>
    <col collapsed="false" customWidth="true" hidden="false" outlineLevel="0" max="6" min="5" style="0" width="28"/>
    <col collapsed="false" customWidth="true" hidden="false" outlineLevel="0" max="7" min="7" style="0" width="20"/>
    <col collapsed="false" customWidth="true" hidden="false" outlineLevel="0" max="8" min="8" style="0" width="14"/>
    <col collapsed="false" customWidth="true" hidden="false" outlineLevel="0" max="26" min="9" style="0" width="8.6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  <c r="G1" s="1"/>
      <c r="H1" s="1"/>
    </row>
    <row r="2" customFormat="false" ht="18.55" hidden="false" customHeight="true" outlineLevel="0" collapsed="false">
      <c r="A2" s="2" t="s">
        <v>52</v>
      </c>
      <c r="B2" s="2"/>
      <c r="C2" s="2"/>
      <c r="D2" s="2"/>
      <c r="E2" s="2"/>
      <c r="F2" s="2"/>
      <c r="G2" s="2"/>
      <c r="H2" s="2"/>
    </row>
    <row r="3" customFormat="false" ht="15" hidden="false" customHeight="true" outlineLevel="0" collapsed="false">
      <c r="A3" s="3" t="s">
        <v>53</v>
      </c>
      <c r="B3" s="3"/>
      <c r="C3" s="3"/>
      <c r="D3" s="3"/>
      <c r="E3" s="3"/>
      <c r="F3" s="3"/>
      <c r="G3" s="3"/>
      <c r="H3" s="3"/>
    </row>
    <row r="4" customFormat="false" ht="31.5" hidden="false" customHeight="true" outlineLevel="0" collapsed="false">
      <c r="A4" s="4" t="s">
        <v>54</v>
      </c>
      <c r="B4" s="4" t="s">
        <v>55</v>
      </c>
      <c r="C4" s="4" t="s">
        <v>56</v>
      </c>
      <c r="D4" s="4" t="s">
        <v>57</v>
      </c>
      <c r="E4" s="4" t="s">
        <v>58</v>
      </c>
      <c r="F4" s="4" t="s">
        <v>59</v>
      </c>
      <c r="G4" s="4" t="s">
        <v>5</v>
      </c>
      <c r="H4" s="4" t="s">
        <v>8</v>
      </c>
    </row>
    <row r="5" customFormat="false" ht="36" hidden="false" customHeight="true" outlineLevel="0" collapsed="false">
      <c r="A5" s="7" t="s">
        <v>60</v>
      </c>
      <c r="B5" s="14" t="n">
        <v>1</v>
      </c>
      <c r="C5" s="14" t="n">
        <v>4</v>
      </c>
      <c r="D5" s="15" t="n">
        <f aca="false">B5*C5</f>
        <v>4</v>
      </c>
      <c r="E5" s="14" t="s">
        <v>61</v>
      </c>
      <c r="F5" s="14" t="s">
        <v>62</v>
      </c>
      <c r="G5" s="14" t="s">
        <v>26</v>
      </c>
      <c r="H5" s="16" t="s">
        <v>63</v>
      </c>
    </row>
    <row r="6" customFormat="false" ht="36" hidden="false" customHeight="true" outlineLevel="0" collapsed="false">
      <c r="A6" s="7" t="s">
        <v>64</v>
      </c>
      <c r="B6" s="14" t="n">
        <v>3</v>
      </c>
      <c r="C6" s="14" t="n">
        <v>3</v>
      </c>
      <c r="D6" s="15" t="n">
        <f aca="false">B6*C6</f>
        <v>9</v>
      </c>
      <c r="E6" s="14" t="s">
        <v>65</v>
      </c>
      <c r="F6" s="14" t="s">
        <v>66</v>
      </c>
      <c r="G6" s="14" t="s">
        <v>35</v>
      </c>
      <c r="H6" s="16" t="s">
        <v>63</v>
      </c>
    </row>
    <row r="7" customFormat="false" ht="36" hidden="false" customHeight="true" outlineLevel="0" collapsed="false">
      <c r="A7" s="7" t="s">
        <v>67</v>
      </c>
      <c r="B7" s="14" t="n">
        <v>1</v>
      </c>
      <c r="C7" s="14" t="n">
        <v>4</v>
      </c>
      <c r="D7" s="15" t="n">
        <f aca="false">B7*C7</f>
        <v>4</v>
      </c>
      <c r="E7" s="14" t="s">
        <v>68</v>
      </c>
      <c r="F7" s="14" t="s">
        <v>69</v>
      </c>
      <c r="G7" s="14" t="s">
        <v>70</v>
      </c>
      <c r="H7" s="16" t="s">
        <v>63</v>
      </c>
    </row>
    <row r="8" customFormat="false" ht="36" hidden="false" customHeight="true" outlineLevel="0" collapsed="false">
      <c r="A8" s="7" t="s">
        <v>71</v>
      </c>
      <c r="B8" s="14" t="n">
        <v>3</v>
      </c>
      <c r="C8" s="14" t="n">
        <v>1</v>
      </c>
      <c r="D8" s="15" t="n">
        <f aca="false">B8*C8</f>
        <v>3</v>
      </c>
      <c r="E8" s="14" t="s">
        <v>72</v>
      </c>
      <c r="F8" s="14" t="s">
        <v>73</v>
      </c>
      <c r="G8" s="14" t="s">
        <v>35</v>
      </c>
      <c r="H8" s="16" t="s">
        <v>63</v>
      </c>
    </row>
    <row r="9" customFormat="false" ht="36" hidden="false" customHeight="true" outlineLevel="0" collapsed="false">
      <c r="A9" s="7" t="s">
        <v>74</v>
      </c>
      <c r="B9" s="14" t="n">
        <v>2</v>
      </c>
      <c r="C9" s="14" t="n">
        <v>2</v>
      </c>
      <c r="D9" s="15" t="n">
        <f aca="false">B9*C9</f>
        <v>4</v>
      </c>
      <c r="E9" s="14" t="s">
        <v>75</v>
      </c>
      <c r="F9" s="14" t="s">
        <v>76</v>
      </c>
      <c r="G9" s="14" t="s">
        <v>77</v>
      </c>
      <c r="H9" s="16" t="s">
        <v>63</v>
      </c>
    </row>
    <row r="10" customFormat="false" ht="36" hidden="false" customHeight="true" outlineLevel="0" collapsed="false">
      <c r="A10" s="7" t="s">
        <v>78</v>
      </c>
      <c r="B10" s="14" t="n">
        <v>3</v>
      </c>
      <c r="C10" s="14" t="n">
        <v>2</v>
      </c>
      <c r="D10" s="15" t="n">
        <f aca="false">B10*C10</f>
        <v>6</v>
      </c>
      <c r="E10" s="14" t="s">
        <v>79</v>
      </c>
      <c r="F10" s="14" t="s">
        <v>80</v>
      </c>
      <c r="G10" s="14" t="s">
        <v>26</v>
      </c>
      <c r="H10" s="16" t="s">
        <v>63</v>
      </c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</row>
    <row r="12" customFormat="false" ht="15" hidden="false" customHeight="true" outlineLevel="0" collapsed="false">
      <c r="A12" s="3" t="s">
        <v>81</v>
      </c>
      <c r="B12" s="3"/>
      <c r="C12" s="3"/>
      <c r="D12" s="3"/>
      <c r="E12" s="3"/>
      <c r="F12" s="3"/>
      <c r="G12" s="3"/>
      <c r="H12" s="3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3">
    <mergeCell ref="A2:H2"/>
    <mergeCell ref="A3:H3"/>
    <mergeCell ref="A12:H12"/>
  </mergeCells>
  <conditionalFormatting sqref="D5:D10">
    <cfRule type="cellIs" priority="2" operator="greaterThanOrEqual" aboveAverage="0" equalAverage="0" bottom="0" percent="0" rank="0" text="" dxfId="1">
      <formula>9</formula>
    </cfRule>
  </conditionalFormatting>
  <conditionalFormatting sqref="D5:D10">
    <cfRule type="cellIs" priority="3" operator="between" aboveAverage="0" equalAverage="0" bottom="0" percent="0" rank="0" text="" dxfId="2">
      <formula>6</formula>
      <formula>8</formula>
    </cfRule>
  </conditionalFormatting>
  <dataValidations count="2">
    <dataValidation allowBlank="true" errorStyle="stop" operator="between" showDropDown="false" showErrorMessage="false" showInputMessage="false" sqref="H5:H10" type="list">
      <formula1>"Ouvert,Traité,Accepté"</formula1>
      <formula2>0</formula2>
    </dataValidation>
    <dataValidation allowBlank="true" errorStyle="stop" operator="between" showDropDown="false" showErrorMessage="false" showInputMessage="false" sqref="B5:C10" type="decimal">
      <formula1>1</formula1>
      <formula2>4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9CA3AF"/>
    <pageSetUpPr fitToPage="false"/>
  </sheetPr>
  <dimension ref="A1:F100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20" activeCellId="0" sqref="E20"/>
    </sheetView>
  </sheetViews>
  <sheetFormatPr defaultColWidth="12.632812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0"/>
    <col collapsed="false" customWidth="true" hidden="false" outlineLevel="0" max="3" min="3" style="0" width="4"/>
    <col collapsed="false" customWidth="true" hidden="false" outlineLevel="0" max="4" min="4" style="0" width="18"/>
    <col collapsed="false" customWidth="true" hidden="false" outlineLevel="0" max="5" min="5" style="0" width="28"/>
    <col collapsed="false" customWidth="true" hidden="false" outlineLevel="0" max="6" min="6" style="0" width="36"/>
    <col collapsed="false" customWidth="true" hidden="false" outlineLevel="0" max="26" min="7" style="0" width="8.63"/>
  </cols>
  <sheetData>
    <row r="1" customFormat="false" ht="15" hidden="false" customHeight="false" outlineLevel="0" collapsed="false">
      <c r="A1" s="1"/>
      <c r="B1" s="1"/>
      <c r="C1" s="1"/>
      <c r="D1" s="1"/>
      <c r="E1" s="1"/>
      <c r="F1" s="1"/>
    </row>
    <row r="2" customFormat="false" ht="18.55" hidden="false" customHeight="true" outlineLevel="0" collapsed="false">
      <c r="A2" s="2" t="s">
        <v>82</v>
      </c>
      <c r="B2" s="2"/>
      <c r="C2" s="2"/>
      <c r="D2" s="2"/>
      <c r="E2" s="2"/>
      <c r="F2" s="2"/>
    </row>
    <row r="3" customFormat="false" ht="15" hidden="false" customHeight="false" outlineLevel="0" collapsed="false">
      <c r="A3" s="1"/>
      <c r="B3" s="1"/>
      <c r="C3" s="1"/>
      <c r="D3" s="1"/>
      <c r="E3" s="1"/>
      <c r="F3" s="1"/>
    </row>
    <row r="4" customFormat="false" ht="30" hidden="false" customHeight="true" outlineLevel="0" collapsed="false">
      <c r="A4" s="4" t="s">
        <v>83</v>
      </c>
      <c r="B4" s="4" t="s">
        <v>84</v>
      </c>
      <c r="C4" s="1"/>
      <c r="D4" s="4" t="s">
        <v>85</v>
      </c>
      <c r="E4" s="4" t="s">
        <v>86</v>
      </c>
      <c r="F4" s="4" t="s">
        <v>87</v>
      </c>
    </row>
    <row r="5" customFormat="false" ht="27.75" hidden="false" customHeight="true" outlineLevel="0" collapsed="false">
      <c r="A5" s="7" t="s">
        <v>88</v>
      </c>
      <c r="B5" s="7" t="n">
        <f aca="false">COUNTA(Planning!A5:A16)</f>
        <v>12</v>
      </c>
      <c r="C5" s="1"/>
      <c r="D5" s="16" t="s">
        <v>89</v>
      </c>
      <c r="E5" s="16" t="s">
        <v>90</v>
      </c>
      <c r="F5" s="16"/>
    </row>
    <row r="6" customFormat="false" ht="27.75" hidden="false" customHeight="true" outlineLevel="0" collapsed="false">
      <c r="A6" s="7" t="s">
        <v>91</v>
      </c>
      <c r="B6" s="7" t="n">
        <f aca="false">COUNTIF(Planning!G5:G16,"Terminé")</f>
        <v>2</v>
      </c>
      <c r="C6" s="1"/>
      <c r="D6" s="16" t="s">
        <v>92</v>
      </c>
      <c r="E6" s="16" t="s">
        <v>93</v>
      </c>
      <c r="F6" s="16"/>
    </row>
    <row r="7" customFormat="false" ht="27.75" hidden="false" customHeight="true" outlineLevel="0" collapsed="false">
      <c r="A7" s="7" t="s">
        <v>94</v>
      </c>
      <c r="B7" s="17" t="n">
        <f aca="false">AVERAGE(Planning!H5:H16)/100</f>
        <v>0.216666666666667</v>
      </c>
      <c r="C7" s="1"/>
      <c r="D7" s="16" t="s">
        <v>95</v>
      </c>
      <c r="E7" s="16" t="s">
        <v>96</v>
      </c>
      <c r="F7" s="16"/>
    </row>
    <row r="8" customFormat="false" ht="27.75" hidden="false" customHeight="true" outlineLevel="0" collapsed="false">
      <c r="A8" s="7" t="s">
        <v>97</v>
      </c>
      <c r="B8" s="7" t="n">
        <f aca="false">COUNTIF(Planning!G5:G16,"Bloqué")</f>
        <v>9</v>
      </c>
      <c r="C8" s="1"/>
      <c r="D8" s="16" t="s">
        <v>98</v>
      </c>
      <c r="E8" s="16" t="s">
        <v>99</v>
      </c>
      <c r="F8" s="16"/>
    </row>
    <row r="9" customFormat="false" ht="27.75" hidden="false" customHeight="true" outlineLevel="0" collapsed="false">
      <c r="A9" s="7" t="s">
        <v>100</v>
      </c>
      <c r="B9" s="7" t="n">
        <f aca="false">COUNTIF(Risques!D5:D10,"&gt;=9")</f>
        <v>1</v>
      </c>
      <c r="C9" s="1"/>
      <c r="D9" s="1"/>
      <c r="E9" s="1"/>
      <c r="F9" s="1"/>
    </row>
    <row r="10" customFormat="false" ht="27.75" hidden="false" customHeight="true" outlineLevel="0" collapsed="false">
      <c r="A10" s="7" t="s">
        <v>101</v>
      </c>
      <c r="B10" s="16" t="s">
        <v>102</v>
      </c>
      <c r="C10" s="1"/>
      <c r="D10" s="1"/>
      <c r="E10" s="1"/>
      <c r="F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</row>
    <row r="12" customFormat="false" ht="15" hidden="false" customHeight="true" outlineLevel="0" collapsed="false">
      <c r="A12" s="18" t="s">
        <v>103</v>
      </c>
      <c r="B12" s="18"/>
      <c r="C12" s="18"/>
      <c r="D12" s="18"/>
      <c r="E12" s="18"/>
      <c r="F12" s="18"/>
    </row>
    <row r="21" customFormat="false" ht="15.75" hidden="false" customHeight="true" outlineLevel="0" collapsed="false"/>
    <row r="22" customFormat="false" ht="15.75" hidden="false" customHeight="true" outlineLevel="0" collapsed="false"/>
    <row r="23" customFormat="false" ht="15.75" hidden="false" customHeight="true" outlineLevel="0" collapsed="false"/>
    <row r="24" customFormat="false" ht="15.75" hidden="false" customHeight="true" outlineLevel="0" collapsed="false"/>
    <row r="25" customFormat="false" ht="15.75" hidden="false" customHeight="true" outlineLevel="0" collapsed="false"/>
    <row r="26" customFormat="false" ht="15.75" hidden="false" customHeight="true" outlineLevel="0" collapsed="false"/>
    <row r="27" customFormat="false" ht="15.75" hidden="false" customHeight="true" outlineLevel="0" collapsed="false"/>
    <row r="28" customFormat="false" ht="15.75" hidden="false" customHeight="true" outlineLevel="0" collapsed="false"/>
    <row r="29" customFormat="false" ht="15.75" hidden="false" customHeight="true" outlineLevel="0" collapsed="false"/>
    <row r="30" customFormat="false" ht="15.75" hidden="false" customHeight="true" outlineLevel="0" collapsed="false"/>
    <row r="31" customFormat="false" ht="15.75" hidden="false" customHeight="true" outlineLevel="0" collapsed="false"/>
    <row r="32" customFormat="false" ht="15.75" hidden="false" customHeight="true" outlineLevel="0" collapsed="false"/>
    <row r="33" customFormat="false" ht="15.75" hidden="false" customHeight="true" outlineLevel="0" collapsed="false"/>
    <row r="34" customFormat="false" ht="15.75" hidden="false" customHeight="true" outlineLevel="0" collapsed="false"/>
    <row r="35" customFormat="false" ht="15.75" hidden="false" customHeight="true" outlineLevel="0" collapsed="false"/>
    <row r="36" customFormat="false" ht="15.75" hidden="false" customHeight="true" outlineLevel="0" collapsed="false"/>
    <row r="37" customFormat="false" ht="15.75" hidden="false" customHeight="true" outlineLevel="0" collapsed="false"/>
    <row r="38" customFormat="false" ht="15.75" hidden="false" customHeight="true" outlineLevel="0" collapsed="false"/>
    <row r="39" customFormat="false" ht="15.75" hidden="false" customHeight="true" outlineLevel="0" collapsed="false"/>
    <row r="40" customFormat="false" ht="15.75" hidden="false" customHeight="true" outlineLevel="0" collapsed="false"/>
    <row r="41" customFormat="false" ht="15.75" hidden="false" customHeight="true" outlineLevel="0" collapsed="false"/>
    <row r="42" customFormat="false" ht="15.75" hidden="false" customHeight="true" outlineLevel="0" collapsed="false"/>
    <row r="43" customFormat="false" ht="15.75" hidden="false" customHeight="true" outlineLevel="0" collapsed="false"/>
    <row r="44" customFormat="false" ht="15.75" hidden="false" customHeight="true" outlineLevel="0" collapsed="false"/>
    <row r="45" customFormat="false" ht="15.75" hidden="false" customHeight="true" outlineLevel="0" collapsed="false"/>
    <row r="46" customFormat="false" ht="15.75" hidden="false" customHeight="true" outlineLevel="0" collapsed="false"/>
    <row r="47" customFormat="false" ht="15.75" hidden="false" customHeight="true" outlineLevel="0" collapsed="false"/>
    <row r="48" customFormat="false" ht="15.75" hidden="false" customHeight="true" outlineLevel="0" collapsed="false"/>
    <row r="49" customFormat="false" ht="15.75" hidden="false" customHeight="true" outlineLevel="0" collapsed="false"/>
    <row r="50" customFormat="false" ht="15.75" hidden="false" customHeight="true" outlineLevel="0" collapsed="false"/>
    <row r="51" customFormat="false" ht="15.75" hidden="false" customHeight="true" outlineLevel="0" collapsed="false"/>
    <row r="52" customFormat="false" ht="15.75" hidden="false" customHeight="true" outlineLevel="0" collapsed="false"/>
    <row r="53" customFormat="false" ht="15.75" hidden="false" customHeight="true" outlineLevel="0" collapsed="false"/>
    <row r="54" customFormat="false" ht="15.75" hidden="false" customHeight="true" outlineLevel="0" collapsed="false"/>
    <row r="55" customFormat="false" ht="15.75" hidden="false" customHeight="true" outlineLevel="0" collapsed="false"/>
    <row r="56" customFormat="false" ht="15.75" hidden="false" customHeight="true" outlineLevel="0" collapsed="false"/>
    <row r="57" customFormat="false" ht="15.75" hidden="false" customHeight="true" outlineLevel="0" collapsed="false"/>
    <row r="58" customFormat="false" ht="15.75" hidden="false" customHeight="true" outlineLevel="0" collapsed="false"/>
    <row r="59" customFormat="false" ht="15.75" hidden="false" customHeight="true" outlineLevel="0" collapsed="false"/>
    <row r="60" customFormat="false" ht="15.75" hidden="false" customHeight="true" outlineLevel="0" collapsed="false"/>
    <row r="61" customFormat="false" ht="15.75" hidden="false" customHeight="true" outlineLevel="0" collapsed="false"/>
    <row r="62" customFormat="false" ht="15.75" hidden="false" customHeight="true" outlineLevel="0" collapsed="false"/>
    <row r="63" customFormat="false" ht="15.75" hidden="false" customHeight="true" outlineLevel="0" collapsed="false"/>
    <row r="64" customFormat="false" ht="15.75" hidden="false" customHeight="true" outlineLevel="0" collapsed="false"/>
    <row r="65" customFormat="false" ht="15.75" hidden="false" customHeight="true" outlineLevel="0" collapsed="false"/>
    <row r="66" customFormat="false" ht="15.75" hidden="false" customHeight="true" outlineLevel="0" collapsed="false"/>
    <row r="67" customFormat="false" ht="15.75" hidden="false" customHeight="true" outlineLevel="0" collapsed="false"/>
    <row r="68" customFormat="false" ht="15.75" hidden="false" customHeight="true" outlineLevel="0" collapsed="false"/>
    <row r="69" customFormat="false" ht="15.75" hidden="false" customHeight="true" outlineLevel="0" collapsed="false"/>
    <row r="70" customFormat="false" ht="15.75" hidden="false" customHeight="true" outlineLevel="0" collapsed="false"/>
    <row r="71" customFormat="false" ht="15.75" hidden="false" customHeight="true" outlineLevel="0" collapsed="false"/>
    <row r="72" customFormat="false" ht="15.75" hidden="false" customHeight="true" outlineLevel="0" collapsed="false"/>
    <row r="73" customFormat="false" ht="15.75" hidden="false" customHeight="true" outlineLevel="0" collapsed="false"/>
    <row r="74" customFormat="false" ht="15.75" hidden="false" customHeight="true" outlineLevel="0" collapsed="false"/>
    <row r="75" customFormat="false" ht="15.75" hidden="false" customHeight="true" outlineLevel="0" collapsed="false"/>
    <row r="76" customFormat="false" ht="15.75" hidden="false" customHeight="true" outlineLevel="0" collapsed="false"/>
    <row r="77" customFormat="false" ht="15.75" hidden="false" customHeight="true" outlineLevel="0" collapsed="false"/>
    <row r="78" customFormat="false" ht="15.75" hidden="false" customHeight="true" outlineLevel="0" collapsed="false"/>
    <row r="79" customFormat="false" ht="15.75" hidden="false" customHeight="true" outlineLevel="0" collapsed="false"/>
    <row r="80" customFormat="false" ht="15.75" hidden="false" customHeight="true" outlineLevel="0" collapsed="false"/>
    <row r="81" customFormat="false" ht="15.75" hidden="false" customHeight="true" outlineLevel="0" collapsed="false"/>
    <row r="82" customFormat="false" ht="15.75" hidden="false" customHeight="true" outlineLevel="0" collapsed="false"/>
    <row r="83" customFormat="false" ht="15.75" hidden="false" customHeight="true" outlineLevel="0" collapsed="false"/>
    <row r="84" customFormat="false" ht="15.75" hidden="false" customHeight="true" outlineLevel="0" collapsed="false"/>
    <row r="85" customFormat="false" ht="15.75" hidden="false" customHeight="true" outlineLevel="0" collapsed="false"/>
    <row r="86" customFormat="false" ht="15.75" hidden="false" customHeight="true" outlineLevel="0" collapsed="false"/>
    <row r="87" customFormat="false" ht="15.75" hidden="false" customHeight="true" outlineLevel="0" collapsed="false"/>
    <row r="88" customFormat="false" ht="15.75" hidden="false" customHeight="true" outlineLevel="0" collapsed="false"/>
    <row r="89" customFormat="false" ht="15.75" hidden="false" customHeight="true" outlineLevel="0" collapsed="false"/>
    <row r="90" customFormat="false" ht="15.75" hidden="false" customHeight="true" outlineLevel="0" collapsed="false"/>
    <row r="91" customFormat="false" ht="15.75" hidden="false" customHeight="true" outlineLevel="0" collapsed="false"/>
    <row r="92" customFormat="false" ht="15.75" hidden="false" customHeight="true" outlineLevel="0" collapsed="false"/>
    <row r="93" customFormat="false" ht="15.75" hidden="false" customHeight="true" outlineLevel="0" collapsed="false"/>
    <row r="94" customFormat="false" ht="15.75" hidden="false" customHeight="true" outlineLevel="0" collapsed="false"/>
    <row r="95" customFormat="false" ht="15.75" hidden="false" customHeight="true" outlineLevel="0" collapsed="false"/>
    <row r="96" customFormat="false" ht="15.75" hidden="false" customHeight="true" outlineLevel="0" collapsed="false"/>
    <row r="97" customFormat="false" ht="15.75" hidden="false" customHeight="true" outlineLevel="0" collapsed="false"/>
    <row r="98" customFormat="false" ht="15.75" hidden="false" customHeight="true" outlineLevel="0" collapsed="false"/>
    <row r="99" customFormat="false" ht="15.75" hidden="false" customHeight="true" outlineLevel="0" collapsed="false"/>
    <row r="100" customFormat="false" ht="15.75" hidden="false" customHeight="true" outlineLevel="0" collapsed="false"/>
    <row r="101" customFormat="false" ht="15.75" hidden="false" customHeight="true" outlineLevel="0" collapsed="false"/>
    <row r="102" customFormat="false" ht="15.75" hidden="false" customHeight="true" outlineLevel="0" collapsed="false"/>
    <row r="103" customFormat="false" ht="15.75" hidden="false" customHeight="true" outlineLevel="0" collapsed="false"/>
    <row r="104" customFormat="false" ht="15.75" hidden="false" customHeight="true" outlineLevel="0" collapsed="false"/>
    <row r="105" customFormat="false" ht="15.75" hidden="false" customHeight="true" outlineLevel="0" collapsed="false"/>
    <row r="106" customFormat="false" ht="15.75" hidden="false" customHeight="true" outlineLevel="0" collapsed="false"/>
    <row r="107" customFormat="false" ht="15.75" hidden="false" customHeight="true" outlineLevel="0" collapsed="false"/>
    <row r="108" customFormat="false" ht="15.75" hidden="false" customHeight="true" outlineLevel="0" collapsed="false"/>
    <row r="109" customFormat="false" ht="15.75" hidden="false" customHeight="true" outlineLevel="0" collapsed="false"/>
    <row r="110" customFormat="false" ht="15.75" hidden="false" customHeight="true" outlineLevel="0" collapsed="false"/>
    <row r="111" customFormat="false" ht="15.75" hidden="false" customHeight="true" outlineLevel="0" collapsed="false"/>
    <row r="112" customFormat="false" ht="15.75" hidden="false" customHeight="true" outlineLevel="0" collapsed="false"/>
    <row r="113" customFormat="false" ht="15.75" hidden="false" customHeight="true" outlineLevel="0" collapsed="false"/>
    <row r="114" customFormat="false" ht="15.75" hidden="false" customHeight="true" outlineLevel="0" collapsed="false"/>
    <row r="115" customFormat="false" ht="15.75" hidden="false" customHeight="true" outlineLevel="0" collapsed="false"/>
    <row r="116" customFormat="false" ht="15.75" hidden="false" customHeight="true" outlineLevel="0" collapsed="false"/>
    <row r="117" customFormat="false" ht="15.75" hidden="false" customHeight="true" outlineLevel="0" collapsed="false"/>
    <row r="118" customFormat="false" ht="15.75" hidden="false" customHeight="true" outlineLevel="0" collapsed="false"/>
    <row r="119" customFormat="false" ht="15.75" hidden="false" customHeight="true" outlineLevel="0" collapsed="false"/>
    <row r="120" customFormat="false" ht="15.75" hidden="false" customHeight="true" outlineLevel="0" collapsed="false"/>
    <row r="121" customFormat="false" ht="15.75" hidden="false" customHeight="true" outlineLevel="0" collapsed="false"/>
    <row r="122" customFormat="false" ht="15.75" hidden="false" customHeight="true" outlineLevel="0" collapsed="false"/>
    <row r="123" customFormat="false" ht="15.75" hidden="false" customHeight="true" outlineLevel="0" collapsed="false"/>
    <row r="124" customFormat="false" ht="15.75" hidden="false" customHeight="true" outlineLevel="0" collapsed="false"/>
    <row r="125" customFormat="false" ht="15.75" hidden="false" customHeight="true" outlineLevel="0" collapsed="false"/>
    <row r="126" customFormat="false" ht="15.75" hidden="false" customHeight="true" outlineLevel="0" collapsed="false"/>
    <row r="127" customFormat="false" ht="15.75" hidden="false" customHeight="true" outlineLevel="0" collapsed="false"/>
    <row r="128" customFormat="false" ht="15.75" hidden="false" customHeight="true" outlineLevel="0" collapsed="false"/>
    <row r="129" customFormat="false" ht="15.75" hidden="false" customHeight="true" outlineLevel="0" collapsed="false"/>
    <row r="130" customFormat="false" ht="15.75" hidden="false" customHeight="true" outlineLevel="0" collapsed="false"/>
    <row r="131" customFormat="false" ht="15.75" hidden="false" customHeight="true" outlineLevel="0" collapsed="false"/>
    <row r="132" customFormat="false" ht="15.75" hidden="false" customHeight="true" outlineLevel="0" collapsed="false"/>
    <row r="133" customFormat="false" ht="15.75" hidden="false" customHeight="true" outlineLevel="0" collapsed="false"/>
    <row r="134" customFormat="false" ht="15.75" hidden="false" customHeight="true" outlineLevel="0" collapsed="false"/>
    <row r="135" customFormat="false" ht="15.75" hidden="false" customHeight="true" outlineLevel="0" collapsed="false"/>
    <row r="136" customFormat="false" ht="15.75" hidden="false" customHeight="true" outlineLevel="0" collapsed="false"/>
    <row r="137" customFormat="false" ht="15.75" hidden="false" customHeight="true" outlineLevel="0" collapsed="false"/>
    <row r="138" customFormat="false" ht="15.75" hidden="false" customHeight="true" outlineLevel="0" collapsed="false"/>
    <row r="139" customFormat="false" ht="15.75" hidden="false" customHeight="true" outlineLevel="0" collapsed="false"/>
    <row r="140" customFormat="false" ht="15.75" hidden="false" customHeight="true" outlineLevel="0" collapsed="false"/>
    <row r="141" customFormat="false" ht="15.75" hidden="false" customHeight="true" outlineLevel="0" collapsed="false"/>
    <row r="142" customFormat="false" ht="15.75" hidden="false" customHeight="true" outlineLevel="0" collapsed="false"/>
    <row r="143" customFormat="false" ht="15.75" hidden="false" customHeight="true" outlineLevel="0" collapsed="false"/>
    <row r="144" customFormat="false" ht="15.75" hidden="false" customHeight="true" outlineLevel="0" collapsed="false"/>
    <row r="145" customFormat="false" ht="15.75" hidden="false" customHeight="true" outlineLevel="0" collapsed="false"/>
    <row r="146" customFormat="false" ht="15.75" hidden="false" customHeight="true" outlineLevel="0" collapsed="false"/>
    <row r="147" customFormat="false" ht="15.75" hidden="false" customHeight="true" outlineLevel="0" collapsed="false"/>
    <row r="148" customFormat="false" ht="15.75" hidden="false" customHeight="true" outlineLevel="0" collapsed="false"/>
    <row r="149" customFormat="false" ht="15.75" hidden="false" customHeight="true" outlineLevel="0" collapsed="false"/>
    <row r="150" customFormat="false" ht="15.75" hidden="false" customHeight="true" outlineLevel="0" collapsed="false"/>
    <row r="151" customFormat="false" ht="15.75" hidden="false" customHeight="true" outlineLevel="0" collapsed="false"/>
    <row r="152" customFormat="false" ht="15.75" hidden="false" customHeight="true" outlineLevel="0" collapsed="false"/>
    <row r="153" customFormat="false" ht="15.75" hidden="false" customHeight="true" outlineLevel="0" collapsed="false"/>
    <row r="154" customFormat="false" ht="15.75" hidden="false" customHeight="true" outlineLevel="0" collapsed="false"/>
    <row r="155" customFormat="false" ht="15.75" hidden="false" customHeight="true" outlineLevel="0" collapsed="false"/>
    <row r="156" customFormat="false" ht="15.75" hidden="false" customHeight="true" outlineLevel="0" collapsed="false"/>
    <row r="157" customFormat="false" ht="15.75" hidden="false" customHeight="true" outlineLevel="0" collapsed="false"/>
    <row r="158" customFormat="false" ht="15.75" hidden="false" customHeight="true" outlineLevel="0" collapsed="false"/>
    <row r="159" customFormat="false" ht="15.75" hidden="false" customHeight="true" outlineLevel="0" collapsed="false"/>
    <row r="160" customFormat="false" ht="15.75" hidden="false" customHeight="true" outlineLevel="0" collapsed="false"/>
    <row r="161" customFormat="false" ht="15.75" hidden="false" customHeight="true" outlineLevel="0" collapsed="false"/>
    <row r="162" customFormat="false" ht="15.75" hidden="false" customHeight="true" outlineLevel="0" collapsed="false"/>
    <row r="163" customFormat="false" ht="15.75" hidden="false" customHeight="true" outlineLevel="0" collapsed="false"/>
    <row r="164" customFormat="false" ht="15.75" hidden="false" customHeight="true" outlineLevel="0" collapsed="false"/>
    <row r="165" customFormat="false" ht="15.75" hidden="false" customHeight="true" outlineLevel="0" collapsed="false"/>
    <row r="166" customFormat="false" ht="15.75" hidden="false" customHeight="true" outlineLevel="0" collapsed="false"/>
    <row r="167" customFormat="false" ht="15.75" hidden="false" customHeight="true" outlineLevel="0" collapsed="false"/>
    <row r="168" customFormat="false" ht="15.75" hidden="false" customHeight="true" outlineLevel="0" collapsed="false"/>
    <row r="169" customFormat="false" ht="15.75" hidden="false" customHeight="true" outlineLevel="0" collapsed="false"/>
    <row r="170" customFormat="false" ht="15.75" hidden="false" customHeight="true" outlineLevel="0" collapsed="false"/>
    <row r="171" customFormat="false" ht="15.75" hidden="false" customHeight="true" outlineLevel="0" collapsed="false"/>
    <row r="172" customFormat="false" ht="15.75" hidden="false" customHeight="true" outlineLevel="0" collapsed="false"/>
    <row r="173" customFormat="false" ht="15.75" hidden="false" customHeight="true" outlineLevel="0" collapsed="false"/>
    <row r="174" customFormat="false" ht="15.75" hidden="false" customHeight="true" outlineLevel="0" collapsed="false"/>
    <row r="175" customFormat="false" ht="15.75" hidden="false" customHeight="true" outlineLevel="0" collapsed="false"/>
    <row r="176" customFormat="false" ht="15.75" hidden="false" customHeight="true" outlineLevel="0" collapsed="false"/>
    <row r="177" customFormat="false" ht="15.75" hidden="false" customHeight="true" outlineLevel="0" collapsed="false"/>
    <row r="178" customFormat="false" ht="15.75" hidden="false" customHeight="true" outlineLevel="0" collapsed="false"/>
    <row r="179" customFormat="false" ht="15.75" hidden="false" customHeight="true" outlineLevel="0" collapsed="false"/>
    <row r="180" customFormat="false" ht="15.75" hidden="false" customHeight="true" outlineLevel="0" collapsed="false"/>
    <row r="181" customFormat="false" ht="15.75" hidden="false" customHeight="true" outlineLevel="0" collapsed="false"/>
    <row r="182" customFormat="false" ht="15.75" hidden="false" customHeight="true" outlineLevel="0" collapsed="false"/>
    <row r="183" customFormat="false" ht="15.75" hidden="false" customHeight="true" outlineLevel="0" collapsed="false"/>
    <row r="184" customFormat="false" ht="15.75" hidden="false" customHeight="true" outlineLevel="0" collapsed="false"/>
    <row r="185" customFormat="false" ht="15.75" hidden="false" customHeight="true" outlineLevel="0" collapsed="false"/>
    <row r="186" customFormat="false" ht="15.75" hidden="false" customHeight="true" outlineLevel="0" collapsed="false"/>
    <row r="187" customFormat="false" ht="15.75" hidden="false" customHeight="true" outlineLevel="0" collapsed="false"/>
    <row r="188" customFormat="false" ht="15.75" hidden="false" customHeight="true" outlineLevel="0" collapsed="false"/>
    <row r="189" customFormat="false" ht="15.75" hidden="false" customHeight="true" outlineLevel="0" collapsed="false"/>
    <row r="190" customFormat="false" ht="15.75" hidden="false" customHeight="true" outlineLevel="0" collapsed="false"/>
    <row r="191" customFormat="false" ht="15.75" hidden="false" customHeight="true" outlineLevel="0" collapsed="false"/>
    <row r="192" customFormat="false" ht="15.75" hidden="false" customHeight="true" outlineLevel="0" collapsed="false"/>
    <row r="193" customFormat="false" ht="15.75" hidden="false" customHeight="true" outlineLevel="0" collapsed="false"/>
    <row r="194" customFormat="false" ht="15.75" hidden="false" customHeight="true" outlineLevel="0" collapsed="false"/>
    <row r="195" customFormat="false" ht="15.75" hidden="false" customHeight="true" outlineLevel="0" collapsed="false"/>
    <row r="196" customFormat="false" ht="15.75" hidden="false" customHeight="true" outlineLevel="0" collapsed="false"/>
    <row r="197" customFormat="false" ht="15.75" hidden="false" customHeight="true" outlineLevel="0" collapsed="false"/>
    <row r="198" customFormat="false" ht="15.75" hidden="false" customHeight="true" outlineLevel="0" collapsed="false"/>
    <row r="199" customFormat="false" ht="15.75" hidden="false" customHeight="true" outlineLevel="0" collapsed="false"/>
    <row r="200" customFormat="false" ht="15.75" hidden="false" customHeight="true" outlineLevel="0" collapsed="false"/>
    <row r="201" customFormat="false" ht="15.75" hidden="false" customHeight="true" outlineLevel="0" collapsed="false"/>
    <row r="202" customFormat="false" ht="15.75" hidden="false" customHeight="true" outlineLevel="0" collapsed="false"/>
    <row r="203" customFormat="false" ht="15.75" hidden="false" customHeight="true" outlineLevel="0" collapsed="false"/>
    <row r="204" customFormat="false" ht="15.75" hidden="false" customHeight="true" outlineLevel="0" collapsed="false"/>
    <row r="205" customFormat="false" ht="15.75" hidden="false" customHeight="true" outlineLevel="0" collapsed="false"/>
    <row r="206" customFormat="false" ht="15.75" hidden="false" customHeight="true" outlineLevel="0" collapsed="false"/>
    <row r="207" customFormat="false" ht="15.75" hidden="false" customHeight="true" outlineLevel="0" collapsed="false"/>
    <row r="208" customFormat="false" ht="15.75" hidden="false" customHeight="true" outlineLevel="0" collapsed="false"/>
    <row r="209" customFormat="false" ht="15.75" hidden="false" customHeight="true" outlineLevel="0" collapsed="false"/>
    <row r="210" customFormat="false" ht="15.75" hidden="false" customHeight="true" outlineLevel="0" collapsed="false"/>
    <row r="211" customFormat="false" ht="15.75" hidden="false" customHeight="true" outlineLevel="0" collapsed="false"/>
    <row r="212" customFormat="false" ht="15.75" hidden="false" customHeight="true" outlineLevel="0" collapsed="false"/>
    <row r="213" customFormat="false" ht="15.75" hidden="false" customHeight="true" outlineLevel="0" collapsed="false"/>
    <row r="214" customFormat="false" ht="15.75" hidden="false" customHeight="true" outlineLevel="0" collapsed="false"/>
    <row r="215" customFormat="false" ht="15.75" hidden="false" customHeight="true" outlineLevel="0" collapsed="false"/>
    <row r="216" customFormat="false" ht="15.75" hidden="false" customHeight="true" outlineLevel="0" collapsed="false"/>
    <row r="217" customFormat="false" ht="15.75" hidden="false" customHeight="true" outlineLevel="0" collapsed="false"/>
    <row r="218" customFormat="false" ht="15.75" hidden="false" customHeight="true" outlineLevel="0" collapsed="false"/>
    <row r="219" customFormat="false" ht="15.75" hidden="false" customHeight="true" outlineLevel="0" collapsed="false"/>
    <row r="220" customFormat="false" ht="15.75" hidden="false" customHeight="true" outlineLevel="0" collapsed="false"/>
    <row r="221" customFormat="false" ht="15.75" hidden="false" customHeight="true" outlineLevel="0" collapsed="false"/>
    <row r="222" customFormat="false" ht="15.75" hidden="false" customHeight="true" outlineLevel="0" collapsed="false"/>
    <row r="223" customFormat="false" ht="15.75" hidden="false" customHeight="true" outlineLevel="0" collapsed="false"/>
    <row r="224" customFormat="false" ht="15.75" hidden="false" customHeight="true" outlineLevel="0" collapsed="false"/>
    <row r="225" customFormat="false" ht="15.75" hidden="false" customHeight="true" outlineLevel="0" collapsed="false"/>
    <row r="226" customFormat="false" ht="15.75" hidden="false" customHeight="true" outlineLevel="0" collapsed="false"/>
    <row r="227" customFormat="false" ht="15.75" hidden="false" customHeight="true" outlineLevel="0" collapsed="false"/>
    <row r="228" customFormat="false" ht="15.75" hidden="false" customHeight="true" outlineLevel="0" collapsed="false"/>
    <row r="229" customFormat="false" ht="15.75" hidden="false" customHeight="true" outlineLevel="0" collapsed="false"/>
    <row r="230" customFormat="false" ht="15.75" hidden="false" customHeight="true" outlineLevel="0" collapsed="false"/>
    <row r="231" customFormat="false" ht="15.75" hidden="false" customHeight="true" outlineLevel="0" collapsed="false"/>
    <row r="232" customFormat="false" ht="15.75" hidden="false" customHeight="true" outlineLevel="0" collapsed="false"/>
    <row r="233" customFormat="false" ht="15.75" hidden="false" customHeight="true" outlineLevel="0" collapsed="false"/>
    <row r="234" customFormat="false" ht="15.75" hidden="false" customHeight="true" outlineLevel="0" collapsed="false"/>
    <row r="235" customFormat="false" ht="15.75" hidden="false" customHeight="true" outlineLevel="0" collapsed="false"/>
    <row r="236" customFormat="false" ht="15.75" hidden="false" customHeight="true" outlineLevel="0" collapsed="false"/>
    <row r="237" customFormat="false" ht="15.75" hidden="false" customHeight="true" outlineLevel="0" collapsed="false"/>
    <row r="238" customFormat="false" ht="15.75" hidden="false" customHeight="true" outlineLevel="0" collapsed="false"/>
    <row r="239" customFormat="false" ht="15.75" hidden="false" customHeight="true" outlineLevel="0" collapsed="false"/>
    <row r="240" customFormat="false" ht="15.75" hidden="false" customHeight="true" outlineLevel="0" collapsed="false"/>
    <row r="241" customFormat="false" ht="15.75" hidden="false" customHeight="true" outlineLevel="0" collapsed="false"/>
    <row r="242" customFormat="false" ht="15.75" hidden="false" customHeight="true" outlineLevel="0" collapsed="false"/>
    <row r="243" customFormat="false" ht="15.75" hidden="false" customHeight="true" outlineLevel="0" collapsed="false"/>
    <row r="244" customFormat="false" ht="15.75" hidden="false" customHeight="true" outlineLevel="0" collapsed="false"/>
    <row r="245" customFormat="false" ht="15.75" hidden="false" customHeight="true" outlineLevel="0" collapsed="false"/>
    <row r="246" customFormat="false" ht="15.75" hidden="false" customHeight="true" outlineLevel="0" collapsed="false"/>
    <row r="247" customFormat="false" ht="15.75" hidden="false" customHeight="true" outlineLevel="0" collapsed="false"/>
    <row r="248" customFormat="false" ht="15.75" hidden="false" customHeight="true" outlineLevel="0" collapsed="false"/>
    <row r="249" customFormat="false" ht="15.75" hidden="false" customHeight="true" outlineLevel="0" collapsed="false"/>
    <row r="250" customFormat="false" ht="15.75" hidden="false" customHeight="true" outlineLevel="0" collapsed="false"/>
    <row r="251" customFormat="false" ht="15.75" hidden="false" customHeight="true" outlineLevel="0" collapsed="false"/>
    <row r="252" customFormat="false" ht="15.75" hidden="false" customHeight="true" outlineLevel="0" collapsed="false"/>
    <row r="253" customFormat="false" ht="15.75" hidden="false" customHeight="true" outlineLevel="0" collapsed="false"/>
    <row r="254" customFormat="false" ht="15.75" hidden="false" customHeight="true" outlineLevel="0" collapsed="false"/>
    <row r="255" customFormat="false" ht="15.75" hidden="false" customHeight="true" outlineLevel="0" collapsed="false"/>
    <row r="256" customFormat="false" ht="15.75" hidden="false" customHeight="true" outlineLevel="0" collapsed="false"/>
    <row r="257" customFormat="false" ht="15.75" hidden="false" customHeight="true" outlineLevel="0" collapsed="false"/>
    <row r="258" customFormat="false" ht="15.75" hidden="false" customHeight="true" outlineLevel="0" collapsed="false"/>
    <row r="259" customFormat="false" ht="15.75" hidden="false" customHeight="true" outlineLevel="0" collapsed="false"/>
    <row r="260" customFormat="false" ht="15.75" hidden="false" customHeight="true" outlineLevel="0" collapsed="false"/>
    <row r="261" customFormat="false" ht="15.75" hidden="false" customHeight="true" outlineLevel="0" collapsed="false"/>
    <row r="262" customFormat="false" ht="15.75" hidden="false" customHeight="true" outlineLevel="0" collapsed="false"/>
    <row r="263" customFormat="false" ht="15.75" hidden="false" customHeight="true" outlineLevel="0" collapsed="false"/>
    <row r="264" customFormat="false" ht="15.75" hidden="false" customHeight="true" outlineLevel="0" collapsed="false"/>
    <row r="265" customFormat="false" ht="15.75" hidden="false" customHeight="true" outlineLevel="0" collapsed="false"/>
    <row r="266" customFormat="false" ht="15.75" hidden="false" customHeight="true" outlineLevel="0" collapsed="false"/>
    <row r="267" customFormat="false" ht="15.75" hidden="false" customHeight="true" outlineLevel="0" collapsed="false"/>
    <row r="268" customFormat="false" ht="15.75" hidden="false" customHeight="true" outlineLevel="0" collapsed="false"/>
    <row r="269" customFormat="false" ht="15.75" hidden="false" customHeight="true" outlineLevel="0" collapsed="false"/>
    <row r="270" customFormat="false" ht="15.75" hidden="false" customHeight="true" outlineLevel="0" collapsed="false"/>
    <row r="271" customFormat="false" ht="15.75" hidden="false" customHeight="true" outlineLevel="0" collapsed="false"/>
    <row r="272" customFormat="false" ht="15.75" hidden="false" customHeight="true" outlineLevel="0" collapsed="false"/>
    <row r="273" customFormat="false" ht="15.75" hidden="false" customHeight="true" outlineLevel="0" collapsed="false"/>
    <row r="274" customFormat="false" ht="15.75" hidden="false" customHeight="true" outlineLevel="0" collapsed="false"/>
    <row r="275" customFormat="false" ht="15.75" hidden="false" customHeight="true" outlineLevel="0" collapsed="false"/>
    <row r="276" customFormat="false" ht="15.75" hidden="false" customHeight="true" outlineLevel="0" collapsed="false"/>
    <row r="277" customFormat="false" ht="15.75" hidden="false" customHeight="true" outlineLevel="0" collapsed="false"/>
    <row r="278" customFormat="false" ht="15.75" hidden="false" customHeight="true" outlineLevel="0" collapsed="false"/>
    <row r="279" customFormat="false" ht="15.75" hidden="false" customHeight="true" outlineLevel="0" collapsed="false"/>
    <row r="280" customFormat="false" ht="15.75" hidden="false" customHeight="true" outlineLevel="0" collapsed="false"/>
    <row r="281" customFormat="false" ht="15.75" hidden="false" customHeight="true" outlineLevel="0" collapsed="false"/>
    <row r="282" customFormat="false" ht="15.75" hidden="false" customHeight="true" outlineLevel="0" collapsed="false"/>
    <row r="283" customFormat="false" ht="15.75" hidden="false" customHeight="true" outlineLevel="0" collapsed="false"/>
    <row r="284" customFormat="false" ht="15.75" hidden="false" customHeight="true" outlineLevel="0" collapsed="false"/>
    <row r="285" customFormat="false" ht="15.75" hidden="false" customHeight="true" outlineLevel="0" collapsed="false"/>
    <row r="286" customFormat="false" ht="15.75" hidden="false" customHeight="true" outlineLevel="0" collapsed="false"/>
    <row r="287" customFormat="false" ht="15.75" hidden="false" customHeight="true" outlineLevel="0" collapsed="false"/>
    <row r="288" customFormat="false" ht="15.75" hidden="false" customHeight="true" outlineLevel="0" collapsed="false"/>
    <row r="289" customFormat="false" ht="15.75" hidden="false" customHeight="true" outlineLevel="0" collapsed="false"/>
    <row r="290" customFormat="false" ht="15.75" hidden="false" customHeight="true" outlineLevel="0" collapsed="false"/>
    <row r="291" customFormat="false" ht="15.75" hidden="false" customHeight="true" outlineLevel="0" collapsed="false"/>
    <row r="292" customFormat="false" ht="15.75" hidden="false" customHeight="true" outlineLevel="0" collapsed="false"/>
    <row r="293" customFormat="false" ht="15.75" hidden="false" customHeight="true" outlineLevel="0" collapsed="false"/>
    <row r="294" customFormat="false" ht="15.75" hidden="false" customHeight="true" outlineLevel="0" collapsed="false"/>
    <row r="295" customFormat="false" ht="15.75" hidden="false" customHeight="true" outlineLevel="0" collapsed="false"/>
    <row r="296" customFormat="false" ht="15.75" hidden="false" customHeight="true" outlineLevel="0" collapsed="false"/>
    <row r="297" customFormat="false" ht="15.75" hidden="false" customHeight="true" outlineLevel="0" collapsed="false"/>
    <row r="298" customFormat="false" ht="15.75" hidden="false" customHeight="true" outlineLevel="0" collapsed="false"/>
    <row r="299" customFormat="false" ht="15.75" hidden="false" customHeight="true" outlineLevel="0" collapsed="false"/>
    <row r="300" customFormat="false" ht="15.75" hidden="false" customHeight="true" outlineLevel="0" collapsed="false"/>
    <row r="301" customFormat="false" ht="15.75" hidden="false" customHeight="true" outlineLevel="0" collapsed="false"/>
    <row r="302" customFormat="false" ht="15.75" hidden="false" customHeight="true" outlineLevel="0" collapsed="false"/>
    <row r="303" customFormat="false" ht="15.75" hidden="false" customHeight="true" outlineLevel="0" collapsed="false"/>
    <row r="304" customFormat="false" ht="15.75" hidden="false" customHeight="true" outlineLevel="0" collapsed="false"/>
    <row r="305" customFormat="false" ht="15.75" hidden="false" customHeight="true" outlineLevel="0" collapsed="false"/>
    <row r="306" customFormat="false" ht="15.75" hidden="false" customHeight="true" outlineLevel="0" collapsed="false"/>
    <row r="307" customFormat="false" ht="15.75" hidden="false" customHeight="true" outlineLevel="0" collapsed="false"/>
    <row r="308" customFormat="false" ht="15.75" hidden="false" customHeight="true" outlineLevel="0" collapsed="false"/>
    <row r="309" customFormat="false" ht="15.75" hidden="false" customHeight="true" outlineLevel="0" collapsed="false"/>
    <row r="310" customFormat="false" ht="15.75" hidden="false" customHeight="true" outlineLevel="0" collapsed="false"/>
    <row r="311" customFormat="false" ht="15.75" hidden="false" customHeight="true" outlineLevel="0" collapsed="false"/>
    <row r="312" customFormat="false" ht="15.75" hidden="false" customHeight="true" outlineLevel="0" collapsed="false"/>
    <row r="313" customFormat="false" ht="15.75" hidden="false" customHeight="true" outlineLevel="0" collapsed="false"/>
    <row r="314" customFormat="false" ht="15.75" hidden="false" customHeight="true" outlineLevel="0" collapsed="false"/>
    <row r="315" customFormat="false" ht="15.75" hidden="false" customHeight="true" outlineLevel="0" collapsed="false"/>
    <row r="316" customFormat="false" ht="15.75" hidden="false" customHeight="true" outlineLevel="0" collapsed="false"/>
    <row r="317" customFormat="false" ht="15.75" hidden="false" customHeight="true" outlineLevel="0" collapsed="false"/>
    <row r="318" customFormat="false" ht="15.75" hidden="false" customHeight="true" outlineLevel="0" collapsed="false"/>
    <row r="319" customFormat="false" ht="15.75" hidden="false" customHeight="true" outlineLevel="0" collapsed="false"/>
    <row r="320" customFormat="false" ht="15.75" hidden="false" customHeight="true" outlineLevel="0" collapsed="false"/>
    <row r="321" customFormat="false" ht="15.75" hidden="false" customHeight="true" outlineLevel="0" collapsed="false"/>
    <row r="322" customFormat="false" ht="15.75" hidden="false" customHeight="true" outlineLevel="0" collapsed="false"/>
    <row r="323" customFormat="false" ht="15.75" hidden="false" customHeight="true" outlineLevel="0" collapsed="false"/>
    <row r="324" customFormat="false" ht="15.75" hidden="false" customHeight="true" outlineLevel="0" collapsed="false"/>
    <row r="325" customFormat="false" ht="15.75" hidden="false" customHeight="true" outlineLevel="0" collapsed="false"/>
    <row r="326" customFormat="false" ht="15.75" hidden="false" customHeight="true" outlineLevel="0" collapsed="false"/>
    <row r="327" customFormat="false" ht="15.75" hidden="false" customHeight="true" outlineLevel="0" collapsed="false"/>
    <row r="328" customFormat="false" ht="15.75" hidden="false" customHeight="true" outlineLevel="0" collapsed="false"/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994" customFormat="false" ht="15.75" hidden="false" customHeight="true" outlineLevel="0" collapsed="false"/>
    <row r="995" customFormat="false" ht="15.75" hidden="false" customHeight="true" outlineLevel="0" collapsed="false"/>
    <row r="996" customFormat="false" ht="15.75" hidden="false" customHeight="true" outlineLevel="0" collapsed="false"/>
    <row r="997" customFormat="false" ht="15.75" hidden="false" customHeight="true" outlineLevel="0" collapsed="false"/>
    <row r="998" customFormat="false" ht="15.75" hidden="false" customHeight="true" outlineLevel="0" collapsed="false"/>
    <row r="999" customFormat="false" ht="15.75" hidden="false" customHeight="true" outlineLevel="0" collapsed="false"/>
    <row r="1000" customFormat="false" ht="15.75" hidden="false" customHeight="true" outlineLevel="0" collapsed="false"/>
  </sheetData>
  <mergeCells count="2">
    <mergeCell ref="A2:F2"/>
    <mergeCell ref="A12:F12"/>
  </mergeCells>
  <conditionalFormatting sqref="D5:D8">
    <cfRule type="containsText" priority="2" operator="containsText" aboveAverage="0" equalAverage="0" bottom="0" percent="0" rank="0" text="Vert" dxfId="0">
      <formula>NOT(ISERROR(SEARCH("Vert",D5)))</formula>
    </cfRule>
  </conditionalFormatting>
  <conditionalFormatting sqref="D5:D8">
    <cfRule type="containsText" priority="3" operator="containsText" aboveAverage="0" equalAverage="0" bottom="0" percent="0" rank="0" text="Orange" dxfId="2">
      <formula>NOT(ISERROR(SEARCH("Orange",D5)))</formula>
    </cfRule>
  </conditionalFormatting>
  <conditionalFormatting sqref="D5:D8">
    <cfRule type="containsText" priority="4" operator="containsText" aboveAverage="0" equalAverage="0" bottom="0" percent="0" rank="0" text="Rouge" dxfId="1">
      <formula>NOT(ISERROR(SEARCH("Rouge",D5)))</formula>
    </cfRule>
  </conditionalFormatting>
  <dataValidations count="1">
    <dataValidation allowBlank="true" errorStyle="stop" operator="between" showDropDown="false" showErrorMessage="false" showInputMessage="false" sqref="D5:D8" type="list">
      <formula1>"Vert,Orange,Rouge"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fr-FR</dc:language>
  <cp:lastModifiedBy/>
  <dcterms:modified xsi:type="dcterms:W3CDTF">2026-10-12T15:50:14Z</dcterms:modified>
  <cp:revision>2</cp:revision>
  <dc:subject/>
  <dc:title/>
</cp:coreProperties>
</file>