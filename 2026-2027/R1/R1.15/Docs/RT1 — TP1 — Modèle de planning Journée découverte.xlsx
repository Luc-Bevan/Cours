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" sheetId="1" r:id="rId5"/>
    <sheet state="visible" name="Risques" sheetId="2" r:id="rId6"/>
    <sheet state="visible" name="Tableau de bord" sheetId="3" r:id="rId7"/>
  </sheets>
  <definedNames/>
  <calcPr/>
</workbook>
</file>

<file path=xl/sharedStrings.xml><?xml version="1.0" encoding="utf-8"?>
<sst xmlns="http://schemas.openxmlformats.org/spreadsheetml/2006/main" count="107" uniqueCount="83">
  <si>
    <t>RT1 — TP1 · Planning opérationnel de la journée découverte R&amp;T</t>
  </si>
  <si>
    <t>Complétez les cellules jaunes. Les colonnes calculées et le mini-Gantt se mettent à jour automatiquement.</t>
  </si>
  <si>
    <t>ID</t>
  </si>
  <si>
    <t>Lot</t>
  </si>
  <si>
    <t>Tâche</t>
  </si>
  <si>
    <t>Responsable</t>
  </si>
  <si>
    <t>Durée (j)</t>
  </si>
  <si>
    <t>Prédécesseur</t>
  </si>
  <si>
    <t>Statut</t>
  </si>
  <si>
    <t>Avancement</t>
  </si>
  <si>
    <t>Début (jour)</t>
  </si>
  <si>
    <t>Fin (jour)</t>
  </si>
  <si>
    <t>Commentaire</t>
  </si>
  <si>
    <t>1.1</t>
  </si>
  <si>
    <t>Cadrage</t>
  </si>
  <si>
    <t>Valider l’objectif et la date</t>
  </si>
  <si>
    <t>À faire</t>
  </si>
  <si>
    <t>1.2</t>
  </si>
  <si>
    <t>Confirmer les lycées participants</t>
  </si>
  <si>
    <t>2.1</t>
  </si>
  <si>
    <t>Logistique</t>
  </si>
  <si>
    <t>Réserver les salles</t>
  </si>
  <si>
    <t>2.2</t>
  </si>
  <si>
    <t>Définir les groupes et les rotations</t>
  </si>
  <si>
    <t>2.3</t>
  </si>
  <si>
    <t>Prévoir l’accueil et la restauration</t>
  </si>
  <si>
    <t>3.1</t>
  </si>
  <si>
    <t>Ateliers</t>
  </si>
  <si>
    <t>Choisir les ateliers techniques</t>
  </si>
  <si>
    <t>3.2</t>
  </si>
  <si>
    <t>Préparer les supports et consignes</t>
  </si>
  <si>
    <t>3.3</t>
  </si>
  <si>
    <t>Installer et tester le matériel</t>
  </si>
  <si>
    <t>4.1</t>
  </si>
  <si>
    <t>Communication</t>
  </si>
  <si>
    <t>Envoyer les invitations</t>
  </si>
  <si>
    <t>4.2</t>
  </si>
  <si>
    <t>Préparer le message de rappel</t>
  </si>
  <si>
    <t>5.1</t>
  </si>
  <si>
    <t>Réalisation</t>
  </si>
  <si>
    <t>Accueillir et animer la journée</t>
  </si>
  <si>
    <t>5.2</t>
  </si>
  <si>
    <t>Clôture</t>
  </si>
  <si>
    <t>Recueillir les avis et faire le bilan</t>
  </si>
  <si>
    <t>Consigne imprévu : la salle principale devient indisponible au jour 24. Modifiez le planning sans décaler la journée.</t>
  </si>
  <si>
    <t>RT1 — TP1 · Registre des risques</t>
  </si>
  <si>
    <t>Évaluez les risques, choisissez une réponse et nommez un responsable.</t>
  </si>
  <si>
    <t>Risque</t>
  </si>
  <si>
    <t>Probabilité</t>
  </si>
  <si>
    <t>Impact</t>
  </si>
  <si>
    <t>Score</t>
  </si>
  <si>
    <t>Prévention</t>
  </si>
  <si>
    <t>Plan B</t>
  </si>
  <si>
    <t>Salle indisponible</t>
  </si>
  <si>
    <t>Ouvert</t>
  </si>
  <si>
    <t>Matériel en panne</t>
  </si>
  <si>
    <t>Animateur absent</t>
  </si>
  <si>
    <t>Retard d’un groupe</t>
  </si>
  <si>
    <t>Effectif supérieur</t>
  </si>
  <si>
    <t>Problème de restauration</t>
  </si>
  <si>
    <t>Échelle : 1 faible · 2 modéré · 3 fort · 4 critique. Score 9 à 16 = priorité.</t>
  </si>
  <si>
    <t>RT1 — TP1 · Tableau de bord</t>
  </si>
  <si>
    <t>Indicateur</t>
  </si>
  <si>
    <t>Valeur</t>
  </si>
  <si>
    <t>Statut projet</t>
  </si>
  <si>
    <t>Critère</t>
  </si>
  <si>
    <t>Décision / action</t>
  </si>
  <si>
    <t>Nombre de tâches</t>
  </si>
  <si>
    <t>Délai</t>
  </si>
  <si>
    <t>Planning réalisable ?</t>
  </si>
  <si>
    <t>Tâches terminées</t>
  </si>
  <si>
    <t>Ressources</t>
  </si>
  <si>
    <t>Responsables disponibles ?</t>
  </si>
  <si>
    <t>Avancement moyen</t>
  </si>
  <si>
    <t>Risques</t>
  </si>
  <si>
    <t>Risque prioritaire traité ?</t>
  </si>
  <si>
    <t>Tâches bloquées</t>
  </si>
  <si>
    <t>Organisation</t>
  </si>
  <si>
    <t>Plan B validé ?</t>
  </si>
  <si>
    <t>Risques prioritaires</t>
  </si>
  <si>
    <t>Décision à prendre</t>
  </si>
  <si>
    <t>À compléter par le groupe</t>
  </si>
  <si>
    <t>Restitution : présentez l’écart principal, votre modification de planning et votre décision en 60 secondes.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</si>
</sst>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sz val="11.0"/>
      <color theme="1"/>
      <name val="Carlito"/>
    </font>
    <font>
      <b/>
      <sz val="15.0"/>
      <color rgb="FF0400FF"/>
      <name val="Arial"/>
    </font>
    <font>
      <i/>
      <sz val="10.0"/>
      <color rgb="FF5B6475"/>
      <name val="Arial"/>
    </font>
    <font>
      <b/>
      <sz val="10.0"/>
      <color rgb="FFFFFFFF"/>
      <name val="Arial"/>
    </font>
    <font>
      <sz val="10.0"/>
      <color rgb="FF111827"/>
      <name val="Arial"/>
    </font>
    <font>
      <sz val="10.0"/>
      <color rgb="FF0400FF"/>
      <name val="Arial"/>
    </font>
    <font>
      <b/>
      <sz val="10.0"/>
      <color rgb="FF991B1B"/>
      <name val="Arial"/>
    </font>
    <font/>
    <font>
      <b/>
      <sz val="10.0"/>
      <color rgb="FF04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400FF"/>
        <bgColor rgb="FF0400FF"/>
      </patternFill>
    </fill>
    <fill>
      <patternFill patternType="solid">
        <fgColor rgb="FFFEF3C7"/>
        <bgColor rgb="FFFEF3C7"/>
      </patternFill>
    </fill>
    <fill>
      <patternFill patternType="solid">
        <fgColor rgb="FFEEF2FF"/>
        <bgColor rgb="FFEEF2FF"/>
      </patternFill>
    </fill>
    <fill>
      <patternFill patternType="solid">
        <fgColor rgb="FFFEE2E2"/>
        <bgColor rgb="FFFEE2E2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3" fontId="5" numFmtId="0" xfId="0" applyAlignment="1" applyBorder="1" applyFill="1" applyFont="1">
      <alignment shrinkToFit="0" vertical="center" wrapText="1"/>
    </xf>
    <xf borderId="2" fillId="3" fontId="5" numFmtId="0" xfId="0" applyAlignment="1" applyBorder="1" applyFill="1" applyFont="1">
      <alignment readingOrder="0" shrinkToFit="0" vertical="center" wrapText="1"/>
    </xf>
    <xf borderId="2" fillId="3" fontId="5" numFmtId="10" xfId="0" applyAlignment="1" applyBorder="1" applyFill="1" applyFont="1" applyNumberFormat="1">
      <alignment readingOrder="0" shrinkToFit="0" vertical="center" wrapText="1"/>
    </xf>
    <xf borderId="2" fillId="4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3" fontId="5" numFmtId="1" xfId="0" applyAlignment="1" applyBorder="1" applyFill="1" applyFont="1" applyNumberFormat="1">
      <alignment shrinkToFit="0" vertical="center" wrapText="1"/>
    </xf>
    <xf borderId="3" fillId="5" fontId="7" numFmtId="0" xfId="0" applyAlignment="1" applyBorder="1" applyFill="1" applyFont="1">
      <alignment shrinkToFit="0" wrapText="1"/>
    </xf>
    <xf borderId="4" fillId="0" fontId="8" numFmtId="0" xfId="0" applyBorder="1" applyFont="1"/>
    <xf borderId="5" fillId="0" fontId="8" numFmtId="0" xfId="0" applyBorder="1" applyFont="1"/>
    <xf borderId="2" fillId="0" fontId="5" numFmtId="9" xfId="0" applyAlignment="1" applyBorder="1" applyFont="1" applyNumberFormat="1">
      <alignment shrinkToFit="0" vertical="center" wrapText="1"/>
    </xf>
    <xf borderId="3" fillId="4" fontId="9" numFmtId="0" xfId="0" applyAlignment="1" applyBorder="1" applyFill="1" applyFont="1">
      <alignment shrinkToFit="0" wrapText="1"/>
    </xf>
  </cellXfs>
  <cellStyles count="1">
    <cellStyle xfId="0" name="Normal" builtinId="0"/>
  </cellStyles>
  <dxfs count="4"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0400FF"/>
      </font>
      <fill>
        <patternFill patternType="solid">
          <fgColor rgb="FFEEF2FF"/>
          <bgColor rgb="FFEEF2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400FF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9.0"/>
    <col customWidth="1" min="2" max="2" width="15.0"/>
    <col customWidth="1" min="3" max="3" width="34.0"/>
    <col customWidth="1" min="4" max="4" width="20.0"/>
    <col customWidth="1" min="5" max="5" width="12.0"/>
    <col customWidth="1" min="6" max="6" width="14.0"/>
    <col customWidth="1" min="7" max="8" width="13.0"/>
    <col customWidth="1" min="9" max="10" width="12.0"/>
    <col customWidth="1" min="11" max="11" width="28.0"/>
    <col customWidth="1" min="12" max="42" width="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 t="s">
        <v>0</v>
      </c>
    </row>
    <row r="3">
      <c r="A3" s="3" t="s">
        <v>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31.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>
        <v>1.0</v>
      </c>
      <c r="M4" s="4">
        <v>2.0</v>
      </c>
      <c r="N4" s="4">
        <v>3.0</v>
      </c>
      <c r="O4" s="4">
        <v>4.0</v>
      </c>
      <c r="P4" s="4">
        <v>5.0</v>
      </c>
      <c r="Q4" s="4">
        <v>6.0</v>
      </c>
      <c r="R4" s="4">
        <v>7.0</v>
      </c>
      <c r="S4" s="4">
        <v>8.0</v>
      </c>
      <c r="T4" s="4">
        <v>9.0</v>
      </c>
      <c r="U4" s="4">
        <v>10.0</v>
      </c>
      <c r="V4" s="4">
        <v>11.0</v>
      </c>
      <c r="W4" s="4">
        <v>12.0</v>
      </c>
      <c r="X4" s="4">
        <v>13.0</v>
      </c>
      <c r="Y4" s="4">
        <v>14.0</v>
      </c>
      <c r="Z4" s="4">
        <v>15.0</v>
      </c>
      <c r="AA4" s="4">
        <v>16.0</v>
      </c>
      <c r="AB4" s="4">
        <v>17.0</v>
      </c>
      <c r="AC4" s="4">
        <v>18.0</v>
      </c>
      <c r="AD4" s="4">
        <v>19.0</v>
      </c>
      <c r="AE4" s="4">
        <v>20.0</v>
      </c>
      <c r="AF4" s="4">
        <v>21.0</v>
      </c>
      <c r="AG4" s="4">
        <v>22.0</v>
      </c>
      <c r="AH4" s="4">
        <v>23.0</v>
      </c>
      <c r="AI4" s="4">
        <v>24.0</v>
      </c>
      <c r="AJ4" s="4">
        <v>25.0</v>
      </c>
      <c r="AK4" s="4">
        <v>26.0</v>
      </c>
      <c r="AL4" s="4">
        <v>27.0</v>
      </c>
      <c r="AM4" s="4">
        <v>28.0</v>
      </c>
      <c r="AN4" s="4">
        <v>29.0</v>
      </c>
      <c r="AO4" s="4">
        <v>30.0</v>
      </c>
      <c r="AP4" s="4">
        <v>31.0</v>
      </c>
    </row>
    <row r="5" ht="27.75" customHeight="1">
      <c r="A5" s="5" t="s">
        <v>13</v>
      </c>
      <c r="B5" s="5" t="s">
        <v>14</v>
      </c>
      <c r="C5" s="5" t="s">
        <v>15</v>
      </c>
      <c r="D5" s="6"/>
      <c r="E5" s="7"/>
      <c r="F5" s="6"/>
      <c r="G5" s="7" t="s">
        <v>16</v>
      </c>
      <c r="H5" s="8">
        <v>0.0</v>
      </c>
      <c r="I5" s="7"/>
      <c r="J5" s="9" t="str">
        <f t="shared" ref="J5:J16" si="2">IF(OR(I5="",E5=""),"",I5+E5-1)</f>
        <v/>
      </c>
      <c r="K5" s="5"/>
      <c r="L5" s="10" t="str">
        <f t="shared" ref="L5:AP5" si="1">IF(AND(L$4&gt;=$I5,L$4&lt;=$J5),"■","")</f>
        <v>■</v>
      </c>
      <c r="M5" s="10" t="str">
        <f t="shared" si="1"/>
        <v>■</v>
      </c>
      <c r="N5" s="10" t="str">
        <f t="shared" si="1"/>
        <v>■</v>
      </c>
      <c r="O5" s="10" t="str">
        <f t="shared" si="1"/>
        <v>■</v>
      </c>
      <c r="P5" s="10" t="str">
        <f t="shared" si="1"/>
        <v>■</v>
      </c>
      <c r="Q5" s="10" t="str">
        <f t="shared" si="1"/>
        <v>■</v>
      </c>
      <c r="R5" s="10" t="str">
        <f t="shared" si="1"/>
        <v>■</v>
      </c>
      <c r="S5" s="10" t="str">
        <f t="shared" si="1"/>
        <v>■</v>
      </c>
      <c r="T5" s="10" t="str">
        <f t="shared" si="1"/>
        <v>■</v>
      </c>
      <c r="U5" s="10" t="str">
        <f t="shared" si="1"/>
        <v>■</v>
      </c>
      <c r="V5" s="10" t="str">
        <f t="shared" si="1"/>
        <v>■</v>
      </c>
      <c r="W5" s="10" t="str">
        <f t="shared" si="1"/>
        <v>■</v>
      </c>
      <c r="X5" s="10" t="str">
        <f t="shared" si="1"/>
        <v>■</v>
      </c>
      <c r="Y5" s="10" t="str">
        <f t="shared" si="1"/>
        <v>■</v>
      </c>
      <c r="Z5" s="10" t="str">
        <f t="shared" si="1"/>
        <v>■</v>
      </c>
      <c r="AA5" s="10" t="str">
        <f t="shared" si="1"/>
        <v>■</v>
      </c>
      <c r="AB5" s="10" t="str">
        <f t="shared" si="1"/>
        <v>■</v>
      </c>
      <c r="AC5" s="10" t="str">
        <f t="shared" si="1"/>
        <v>■</v>
      </c>
      <c r="AD5" s="10" t="str">
        <f t="shared" si="1"/>
        <v>■</v>
      </c>
      <c r="AE5" s="10" t="str">
        <f t="shared" si="1"/>
        <v>■</v>
      </c>
      <c r="AF5" s="10" t="str">
        <f t="shared" si="1"/>
        <v>■</v>
      </c>
      <c r="AG5" s="10" t="str">
        <f t="shared" si="1"/>
        <v>■</v>
      </c>
      <c r="AH5" s="10" t="str">
        <f t="shared" si="1"/>
        <v>■</v>
      </c>
      <c r="AI5" s="10" t="str">
        <f t="shared" si="1"/>
        <v>■</v>
      </c>
      <c r="AJ5" s="10" t="str">
        <f t="shared" si="1"/>
        <v>■</v>
      </c>
      <c r="AK5" s="10" t="str">
        <f t="shared" si="1"/>
        <v>■</v>
      </c>
      <c r="AL5" s="10" t="str">
        <f t="shared" si="1"/>
        <v>■</v>
      </c>
      <c r="AM5" s="10" t="str">
        <f t="shared" si="1"/>
        <v>■</v>
      </c>
      <c r="AN5" s="10" t="str">
        <f t="shared" si="1"/>
        <v>■</v>
      </c>
      <c r="AO5" s="10" t="str">
        <f t="shared" si="1"/>
        <v>■</v>
      </c>
      <c r="AP5" s="10" t="str">
        <f t="shared" si="1"/>
        <v>■</v>
      </c>
    </row>
    <row r="6" ht="27.75" customHeight="1">
      <c r="A6" s="5" t="s">
        <v>17</v>
      </c>
      <c r="B6" s="5" t="s">
        <v>14</v>
      </c>
      <c r="C6" s="5" t="s">
        <v>18</v>
      </c>
      <c r="D6" s="6"/>
      <c r="E6" s="7"/>
      <c r="F6" s="6"/>
      <c r="G6" s="6" t="s">
        <v>16</v>
      </c>
      <c r="H6" s="11">
        <v>0.0</v>
      </c>
      <c r="I6" s="6"/>
      <c r="J6" s="9" t="str">
        <f t="shared" si="2"/>
        <v/>
      </c>
      <c r="K6" s="5"/>
      <c r="L6" s="10" t="str">
        <f t="shared" ref="L6:AP6" si="3">IF(AND(L$4&gt;=$I6,L$4&lt;=$J6),"■","")</f>
        <v>■</v>
      </c>
      <c r="M6" s="10" t="str">
        <f t="shared" si="3"/>
        <v>■</v>
      </c>
      <c r="N6" s="10" t="str">
        <f t="shared" si="3"/>
        <v>■</v>
      </c>
      <c r="O6" s="10" t="str">
        <f t="shared" si="3"/>
        <v>■</v>
      </c>
      <c r="P6" s="10" t="str">
        <f t="shared" si="3"/>
        <v>■</v>
      </c>
      <c r="Q6" s="10" t="str">
        <f t="shared" si="3"/>
        <v>■</v>
      </c>
      <c r="R6" s="10" t="str">
        <f t="shared" si="3"/>
        <v>■</v>
      </c>
      <c r="S6" s="10" t="str">
        <f t="shared" si="3"/>
        <v>■</v>
      </c>
      <c r="T6" s="10" t="str">
        <f t="shared" si="3"/>
        <v>■</v>
      </c>
      <c r="U6" s="10" t="str">
        <f t="shared" si="3"/>
        <v>■</v>
      </c>
      <c r="V6" s="10" t="str">
        <f t="shared" si="3"/>
        <v>■</v>
      </c>
      <c r="W6" s="10" t="str">
        <f t="shared" si="3"/>
        <v>■</v>
      </c>
      <c r="X6" s="10" t="str">
        <f t="shared" si="3"/>
        <v>■</v>
      </c>
      <c r="Y6" s="10" t="str">
        <f t="shared" si="3"/>
        <v>■</v>
      </c>
      <c r="Z6" s="10" t="str">
        <f t="shared" si="3"/>
        <v>■</v>
      </c>
      <c r="AA6" s="10" t="str">
        <f t="shared" si="3"/>
        <v>■</v>
      </c>
      <c r="AB6" s="10" t="str">
        <f t="shared" si="3"/>
        <v>■</v>
      </c>
      <c r="AC6" s="10" t="str">
        <f t="shared" si="3"/>
        <v>■</v>
      </c>
      <c r="AD6" s="10" t="str">
        <f t="shared" si="3"/>
        <v>■</v>
      </c>
      <c r="AE6" s="10" t="str">
        <f t="shared" si="3"/>
        <v>■</v>
      </c>
      <c r="AF6" s="10" t="str">
        <f t="shared" si="3"/>
        <v>■</v>
      </c>
      <c r="AG6" s="10" t="str">
        <f t="shared" si="3"/>
        <v>■</v>
      </c>
      <c r="AH6" s="10" t="str">
        <f t="shared" si="3"/>
        <v>■</v>
      </c>
      <c r="AI6" s="10" t="str">
        <f t="shared" si="3"/>
        <v>■</v>
      </c>
      <c r="AJ6" s="10" t="str">
        <f t="shared" si="3"/>
        <v>■</v>
      </c>
      <c r="AK6" s="10" t="str">
        <f t="shared" si="3"/>
        <v>■</v>
      </c>
      <c r="AL6" s="10" t="str">
        <f t="shared" si="3"/>
        <v>■</v>
      </c>
      <c r="AM6" s="10" t="str">
        <f t="shared" si="3"/>
        <v>■</v>
      </c>
      <c r="AN6" s="10" t="str">
        <f t="shared" si="3"/>
        <v>■</v>
      </c>
      <c r="AO6" s="10" t="str">
        <f t="shared" si="3"/>
        <v>■</v>
      </c>
      <c r="AP6" s="10" t="str">
        <f t="shared" si="3"/>
        <v>■</v>
      </c>
    </row>
    <row r="7" ht="27.75" customHeight="1">
      <c r="A7" s="5" t="s">
        <v>19</v>
      </c>
      <c r="B7" s="5" t="s">
        <v>20</v>
      </c>
      <c r="C7" s="5" t="s">
        <v>21</v>
      </c>
      <c r="D7" s="6"/>
      <c r="E7" s="7"/>
      <c r="F7" s="6"/>
      <c r="G7" s="6" t="s">
        <v>16</v>
      </c>
      <c r="H7" s="11">
        <v>0.0</v>
      </c>
      <c r="I7" s="6"/>
      <c r="J7" s="9" t="str">
        <f t="shared" si="2"/>
        <v/>
      </c>
      <c r="K7" s="5"/>
      <c r="L7" s="10" t="str">
        <f t="shared" ref="L7:AP7" si="4">IF(AND(L$4&gt;=$I7,L$4&lt;=$J7),"■","")</f>
        <v>■</v>
      </c>
      <c r="M7" s="10" t="str">
        <f t="shared" si="4"/>
        <v>■</v>
      </c>
      <c r="N7" s="10" t="str">
        <f t="shared" si="4"/>
        <v>■</v>
      </c>
      <c r="O7" s="10" t="str">
        <f t="shared" si="4"/>
        <v>■</v>
      </c>
      <c r="P7" s="10" t="str">
        <f t="shared" si="4"/>
        <v>■</v>
      </c>
      <c r="Q7" s="10" t="str">
        <f t="shared" si="4"/>
        <v>■</v>
      </c>
      <c r="R7" s="10" t="str">
        <f t="shared" si="4"/>
        <v>■</v>
      </c>
      <c r="S7" s="10" t="str">
        <f t="shared" si="4"/>
        <v>■</v>
      </c>
      <c r="T7" s="10" t="str">
        <f t="shared" si="4"/>
        <v>■</v>
      </c>
      <c r="U7" s="10" t="str">
        <f t="shared" si="4"/>
        <v>■</v>
      </c>
      <c r="V7" s="10" t="str">
        <f t="shared" si="4"/>
        <v>■</v>
      </c>
      <c r="W7" s="10" t="str">
        <f t="shared" si="4"/>
        <v>■</v>
      </c>
      <c r="X7" s="10" t="str">
        <f t="shared" si="4"/>
        <v>■</v>
      </c>
      <c r="Y7" s="10" t="str">
        <f t="shared" si="4"/>
        <v>■</v>
      </c>
      <c r="Z7" s="10" t="str">
        <f t="shared" si="4"/>
        <v>■</v>
      </c>
      <c r="AA7" s="10" t="str">
        <f t="shared" si="4"/>
        <v>■</v>
      </c>
      <c r="AB7" s="10" t="str">
        <f t="shared" si="4"/>
        <v>■</v>
      </c>
      <c r="AC7" s="10" t="str">
        <f t="shared" si="4"/>
        <v>■</v>
      </c>
      <c r="AD7" s="10" t="str">
        <f t="shared" si="4"/>
        <v>■</v>
      </c>
      <c r="AE7" s="10" t="str">
        <f t="shared" si="4"/>
        <v>■</v>
      </c>
      <c r="AF7" s="10" t="str">
        <f t="shared" si="4"/>
        <v>■</v>
      </c>
      <c r="AG7" s="10" t="str">
        <f t="shared" si="4"/>
        <v>■</v>
      </c>
      <c r="AH7" s="10" t="str">
        <f t="shared" si="4"/>
        <v>■</v>
      </c>
      <c r="AI7" s="10" t="str">
        <f t="shared" si="4"/>
        <v>■</v>
      </c>
      <c r="AJ7" s="10" t="str">
        <f t="shared" si="4"/>
        <v>■</v>
      </c>
      <c r="AK7" s="10" t="str">
        <f t="shared" si="4"/>
        <v>■</v>
      </c>
      <c r="AL7" s="10" t="str">
        <f t="shared" si="4"/>
        <v>■</v>
      </c>
      <c r="AM7" s="10" t="str">
        <f t="shared" si="4"/>
        <v>■</v>
      </c>
      <c r="AN7" s="10" t="str">
        <f t="shared" si="4"/>
        <v>■</v>
      </c>
      <c r="AO7" s="10" t="str">
        <f t="shared" si="4"/>
        <v>■</v>
      </c>
      <c r="AP7" s="10" t="str">
        <f t="shared" si="4"/>
        <v>■</v>
      </c>
    </row>
    <row r="8" ht="27.75" customHeight="1">
      <c r="A8" s="5" t="s">
        <v>22</v>
      </c>
      <c r="B8" s="5" t="s">
        <v>20</v>
      </c>
      <c r="C8" s="5" t="s">
        <v>23</v>
      </c>
      <c r="D8" s="6"/>
      <c r="E8" s="7"/>
      <c r="F8" s="6"/>
      <c r="G8" s="6" t="s">
        <v>16</v>
      </c>
      <c r="H8" s="11">
        <v>0.0</v>
      </c>
      <c r="I8" s="6"/>
      <c r="J8" s="9" t="str">
        <f t="shared" si="2"/>
        <v/>
      </c>
      <c r="K8" s="5"/>
      <c r="L8" s="10" t="str">
        <f t="shared" ref="L8:AP8" si="5">IF(AND(L$4&gt;=$I8,L$4&lt;=$J8),"■","")</f>
        <v>■</v>
      </c>
      <c r="M8" s="10" t="str">
        <f t="shared" si="5"/>
        <v>■</v>
      </c>
      <c r="N8" s="10" t="str">
        <f t="shared" si="5"/>
        <v>■</v>
      </c>
      <c r="O8" s="10" t="str">
        <f t="shared" si="5"/>
        <v>■</v>
      </c>
      <c r="P8" s="10" t="str">
        <f t="shared" si="5"/>
        <v>■</v>
      </c>
      <c r="Q8" s="10" t="str">
        <f t="shared" si="5"/>
        <v>■</v>
      </c>
      <c r="R8" s="10" t="str">
        <f t="shared" si="5"/>
        <v>■</v>
      </c>
      <c r="S8" s="10" t="str">
        <f t="shared" si="5"/>
        <v>■</v>
      </c>
      <c r="T8" s="10" t="str">
        <f t="shared" si="5"/>
        <v>■</v>
      </c>
      <c r="U8" s="10" t="str">
        <f t="shared" si="5"/>
        <v>■</v>
      </c>
      <c r="V8" s="10" t="str">
        <f t="shared" si="5"/>
        <v>■</v>
      </c>
      <c r="W8" s="10" t="str">
        <f t="shared" si="5"/>
        <v>■</v>
      </c>
      <c r="X8" s="10" t="str">
        <f t="shared" si="5"/>
        <v>■</v>
      </c>
      <c r="Y8" s="10" t="str">
        <f t="shared" si="5"/>
        <v>■</v>
      </c>
      <c r="Z8" s="10" t="str">
        <f t="shared" si="5"/>
        <v>■</v>
      </c>
      <c r="AA8" s="10" t="str">
        <f t="shared" si="5"/>
        <v>■</v>
      </c>
      <c r="AB8" s="10" t="str">
        <f t="shared" si="5"/>
        <v>■</v>
      </c>
      <c r="AC8" s="10" t="str">
        <f t="shared" si="5"/>
        <v>■</v>
      </c>
      <c r="AD8" s="10" t="str">
        <f t="shared" si="5"/>
        <v>■</v>
      </c>
      <c r="AE8" s="10" t="str">
        <f t="shared" si="5"/>
        <v>■</v>
      </c>
      <c r="AF8" s="10" t="str">
        <f t="shared" si="5"/>
        <v>■</v>
      </c>
      <c r="AG8" s="10" t="str">
        <f t="shared" si="5"/>
        <v>■</v>
      </c>
      <c r="AH8" s="10" t="str">
        <f t="shared" si="5"/>
        <v>■</v>
      </c>
      <c r="AI8" s="10" t="str">
        <f t="shared" si="5"/>
        <v>■</v>
      </c>
      <c r="AJ8" s="10" t="str">
        <f t="shared" si="5"/>
        <v>■</v>
      </c>
      <c r="AK8" s="10" t="str">
        <f t="shared" si="5"/>
        <v>■</v>
      </c>
      <c r="AL8" s="10" t="str">
        <f t="shared" si="5"/>
        <v>■</v>
      </c>
      <c r="AM8" s="10" t="str">
        <f t="shared" si="5"/>
        <v>■</v>
      </c>
      <c r="AN8" s="10" t="str">
        <f t="shared" si="5"/>
        <v>■</v>
      </c>
      <c r="AO8" s="10" t="str">
        <f t="shared" si="5"/>
        <v>■</v>
      </c>
      <c r="AP8" s="10" t="str">
        <f t="shared" si="5"/>
        <v>■</v>
      </c>
    </row>
    <row r="9" ht="27.75" customHeight="1">
      <c r="A9" s="5" t="s">
        <v>24</v>
      </c>
      <c r="B9" s="5" t="s">
        <v>20</v>
      </c>
      <c r="C9" s="5" t="s">
        <v>25</v>
      </c>
      <c r="D9" s="6"/>
      <c r="E9" s="7"/>
      <c r="F9" s="6"/>
      <c r="G9" s="6" t="s">
        <v>16</v>
      </c>
      <c r="H9" s="11">
        <v>0.0</v>
      </c>
      <c r="I9" s="6"/>
      <c r="J9" s="9" t="str">
        <f t="shared" si="2"/>
        <v/>
      </c>
      <c r="K9" s="5"/>
      <c r="L9" s="10" t="str">
        <f t="shared" ref="L9:AP9" si="6">IF(AND(L$4&gt;=$I9,L$4&lt;=$J9),"■","")</f>
        <v>■</v>
      </c>
      <c r="M9" s="10" t="str">
        <f t="shared" si="6"/>
        <v>■</v>
      </c>
      <c r="N9" s="10" t="str">
        <f t="shared" si="6"/>
        <v>■</v>
      </c>
      <c r="O9" s="10" t="str">
        <f t="shared" si="6"/>
        <v>■</v>
      </c>
      <c r="P9" s="10" t="str">
        <f t="shared" si="6"/>
        <v>■</v>
      </c>
      <c r="Q9" s="10" t="str">
        <f t="shared" si="6"/>
        <v>■</v>
      </c>
      <c r="R9" s="10" t="str">
        <f t="shared" si="6"/>
        <v>■</v>
      </c>
      <c r="S9" s="10" t="str">
        <f t="shared" si="6"/>
        <v>■</v>
      </c>
      <c r="T9" s="10" t="str">
        <f t="shared" si="6"/>
        <v>■</v>
      </c>
      <c r="U9" s="10" t="str">
        <f t="shared" si="6"/>
        <v>■</v>
      </c>
      <c r="V9" s="10" t="str">
        <f t="shared" si="6"/>
        <v>■</v>
      </c>
      <c r="W9" s="10" t="str">
        <f t="shared" si="6"/>
        <v>■</v>
      </c>
      <c r="X9" s="10" t="str">
        <f t="shared" si="6"/>
        <v>■</v>
      </c>
      <c r="Y9" s="10" t="str">
        <f t="shared" si="6"/>
        <v>■</v>
      </c>
      <c r="Z9" s="10" t="str">
        <f t="shared" si="6"/>
        <v>■</v>
      </c>
      <c r="AA9" s="10" t="str">
        <f t="shared" si="6"/>
        <v>■</v>
      </c>
      <c r="AB9" s="10" t="str">
        <f t="shared" si="6"/>
        <v>■</v>
      </c>
      <c r="AC9" s="10" t="str">
        <f t="shared" si="6"/>
        <v>■</v>
      </c>
      <c r="AD9" s="10" t="str">
        <f t="shared" si="6"/>
        <v>■</v>
      </c>
      <c r="AE9" s="10" t="str">
        <f t="shared" si="6"/>
        <v>■</v>
      </c>
      <c r="AF9" s="10" t="str">
        <f t="shared" si="6"/>
        <v>■</v>
      </c>
      <c r="AG9" s="10" t="str">
        <f t="shared" si="6"/>
        <v>■</v>
      </c>
      <c r="AH9" s="10" t="str">
        <f t="shared" si="6"/>
        <v>■</v>
      </c>
      <c r="AI9" s="10" t="str">
        <f t="shared" si="6"/>
        <v>■</v>
      </c>
      <c r="AJ9" s="10" t="str">
        <f t="shared" si="6"/>
        <v>■</v>
      </c>
      <c r="AK9" s="10" t="str">
        <f t="shared" si="6"/>
        <v>■</v>
      </c>
      <c r="AL9" s="10" t="str">
        <f t="shared" si="6"/>
        <v>■</v>
      </c>
      <c r="AM9" s="10" t="str">
        <f t="shared" si="6"/>
        <v>■</v>
      </c>
      <c r="AN9" s="10" t="str">
        <f t="shared" si="6"/>
        <v>■</v>
      </c>
      <c r="AO9" s="10" t="str">
        <f t="shared" si="6"/>
        <v>■</v>
      </c>
      <c r="AP9" s="10" t="str">
        <f t="shared" si="6"/>
        <v>■</v>
      </c>
    </row>
    <row r="10" ht="27.75" customHeight="1">
      <c r="A10" s="5" t="s">
        <v>26</v>
      </c>
      <c r="B10" s="5" t="s">
        <v>27</v>
      </c>
      <c r="C10" s="5" t="s">
        <v>28</v>
      </c>
      <c r="D10" s="6"/>
      <c r="E10" s="6"/>
      <c r="F10" s="6"/>
      <c r="G10" s="6" t="s">
        <v>16</v>
      </c>
      <c r="H10" s="11">
        <v>0.0</v>
      </c>
      <c r="I10" s="6"/>
      <c r="J10" s="9" t="str">
        <f t="shared" si="2"/>
        <v/>
      </c>
      <c r="K10" s="5"/>
      <c r="L10" s="10" t="str">
        <f t="shared" ref="L10:AP10" si="7">IF(AND(L$4&gt;=$I10,L$4&lt;=$J10),"■","")</f>
        <v>■</v>
      </c>
      <c r="M10" s="10" t="str">
        <f t="shared" si="7"/>
        <v>■</v>
      </c>
      <c r="N10" s="10" t="str">
        <f t="shared" si="7"/>
        <v>■</v>
      </c>
      <c r="O10" s="10" t="str">
        <f t="shared" si="7"/>
        <v>■</v>
      </c>
      <c r="P10" s="10" t="str">
        <f t="shared" si="7"/>
        <v>■</v>
      </c>
      <c r="Q10" s="10" t="str">
        <f t="shared" si="7"/>
        <v>■</v>
      </c>
      <c r="R10" s="10" t="str">
        <f t="shared" si="7"/>
        <v>■</v>
      </c>
      <c r="S10" s="10" t="str">
        <f t="shared" si="7"/>
        <v>■</v>
      </c>
      <c r="T10" s="10" t="str">
        <f t="shared" si="7"/>
        <v>■</v>
      </c>
      <c r="U10" s="10" t="str">
        <f t="shared" si="7"/>
        <v>■</v>
      </c>
      <c r="V10" s="10" t="str">
        <f t="shared" si="7"/>
        <v>■</v>
      </c>
      <c r="W10" s="10" t="str">
        <f t="shared" si="7"/>
        <v>■</v>
      </c>
      <c r="X10" s="10" t="str">
        <f t="shared" si="7"/>
        <v>■</v>
      </c>
      <c r="Y10" s="10" t="str">
        <f t="shared" si="7"/>
        <v>■</v>
      </c>
      <c r="Z10" s="10" t="str">
        <f t="shared" si="7"/>
        <v>■</v>
      </c>
      <c r="AA10" s="10" t="str">
        <f t="shared" si="7"/>
        <v>■</v>
      </c>
      <c r="AB10" s="10" t="str">
        <f t="shared" si="7"/>
        <v>■</v>
      </c>
      <c r="AC10" s="10" t="str">
        <f t="shared" si="7"/>
        <v>■</v>
      </c>
      <c r="AD10" s="10" t="str">
        <f t="shared" si="7"/>
        <v>■</v>
      </c>
      <c r="AE10" s="10" t="str">
        <f t="shared" si="7"/>
        <v>■</v>
      </c>
      <c r="AF10" s="10" t="str">
        <f t="shared" si="7"/>
        <v>■</v>
      </c>
      <c r="AG10" s="10" t="str">
        <f t="shared" si="7"/>
        <v>■</v>
      </c>
      <c r="AH10" s="10" t="str">
        <f t="shared" si="7"/>
        <v>■</v>
      </c>
      <c r="AI10" s="10" t="str">
        <f t="shared" si="7"/>
        <v>■</v>
      </c>
      <c r="AJ10" s="10" t="str">
        <f t="shared" si="7"/>
        <v>■</v>
      </c>
      <c r="AK10" s="10" t="str">
        <f t="shared" si="7"/>
        <v>■</v>
      </c>
      <c r="AL10" s="10" t="str">
        <f t="shared" si="7"/>
        <v>■</v>
      </c>
      <c r="AM10" s="10" t="str">
        <f t="shared" si="7"/>
        <v>■</v>
      </c>
      <c r="AN10" s="10" t="str">
        <f t="shared" si="7"/>
        <v>■</v>
      </c>
      <c r="AO10" s="10" t="str">
        <f t="shared" si="7"/>
        <v>■</v>
      </c>
      <c r="AP10" s="10" t="str">
        <f t="shared" si="7"/>
        <v>■</v>
      </c>
    </row>
    <row r="11" ht="27.75" customHeight="1">
      <c r="A11" s="5" t="s">
        <v>29</v>
      </c>
      <c r="B11" s="5" t="s">
        <v>27</v>
      </c>
      <c r="C11" s="5" t="s">
        <v>30</v>
      </c>
      <c r="D11" s="6"/>
      <c r="E11" s="6"/>
      <c r="F11" s="6"/>
      <c r="G11" s="6" t="s">
        <v>16</v>
      </c>
      <c r="H11" s="11">
        <v>0.0</v>
      </c>
      <c r="I11" s="6"/>
      <c r="J11" s="9" t="str">
        <f t="shared" si="2"/>
        <v/>
      </c>
      <c r="K11" s="5"/>
      <c r="L11" s="10" t="str">
        <f t="shared" ref="L11:AP11" si="8">IF(AND(L$4&gt;=$I11,L$4&lt;=$J11),"■","")</f>
        <v>■</v>
      </c>
      <c r="M11" s="10" t="str">
        <f t="shared" si="8"/>
        <v>■</v>
      </c>
      <c r="N11" s="10" t="str">
        <f t="shared" si="8"/>
        <v>■</v>
      </c>
      <c r="O11" s="10" t="str">
        <f t="shared" si="8"/>
        <v>■</v>
      </c>
      <c r="P11" s="10" t="str">
        <f t="shared" si="8"/>
        <v>■</v>
      </c>
      <c r="Q11" s="10" t="str">
        <f t="shared" si="8"/>
        <v>■</v>
      </c>
      <c r="R11" s="10" t="str">
        <f t="shared" si="8"/>
        <v>■</v>
      </c>
      <c r="S11" s="10" t="str">
        <f t="shared" si="8"/>
        <v>■</v>
      </c>
      <c r="T11" s="10" t="str">
        <f t="shared" si="8"/>
        <v>■</v>
      </c>
      <c r="U11" s="10" t="str">
        <f t="shared" si="8"/>
        <v>■</v>
      </c>
      <c r="V11" s="10" t="str">
        <f t="shared" si="8"/>
        <v>■</v>
      </c>
      <c r="W11" s="10" t="str">
        <f t="shared" si="8"/>
        <v>■</v>
      </c>
      <c r="X11" s="10" t="str">
        <f t="shared" si="8"/>
        <v>■</v>
      </c>
      <c r="Y11" s="10" t="str">
        <f t="shared" si="8"/>
        <v>■</v>
      </c>
      <c r="Z11" s="10" t="str">
        <f t="shared" si="8"/>
        <v>■</v>
      </c>
      <c r="AA11" s="10" t="str">
        <f t="shared" si="8"/>
        <v>■</v>
      </c>
      <c r="AB11" s="10" t="str">
        <f t="shared" si="8"/>
        <v>■</v>
      </c>
      <c r="AC11" s="10" t="str">
        <f t="shared" si="8"/>
        <v>■</v>
      </c>
      <c r="AD11" s="10" t="str">
        <f t="shared" si="8"/>
        <v>■</v>
      </c>
      <c r="AE11" s="10" t="str">
        <f t="shared" si="8"/>
        <v>■</v>
      </c>
      <c r="AF11" s="10" t="str">
        <f t="shared" si="8"/>
        <v>■</v>
      </c>
      <c r="AG11" s="10" t="str">
        <f t="shared" si="8"/>
        <v>■</v>
      </c>
      <c r="AH11" s="10" t="str">
        <f t="shared" si="8"/>
        <v>■</v>
      </c>
      <c r="AI11" s="10" t="str">
        <f t="shared" si="8"/>
        <v>■</v>
      </c>
      <c r="AJ11" s="10" t="str">
        <f t="shared" si="8"/>
        <v>■</v>
      </c>
      <c r="AK11" s="10" t="str">
        <f t="shared" si="8"/>
        <v>■</v>
      </c>
      <c r="AL11" s="10" t="str">
        <f t="shared" si="8"/>
        <v>■</v>
      </c>
      <c r="AM11" s="10" t="str">
        <f t="shared" si="8"/>
        <v>■</v>
      </c>
      <c r="AN11" s="10" t="str">
        <f t="shared" si="8"/>
        <v>■</v>
      </c>
      <c r="AO11" s="10" t="str">
        <f t="shared" si="8"/>
        <v>■</v>
      </c>
      <c r="AP11" s="10" t="str">
        <f t="shared" si="8"/>
        <v>■</v>
      </c>
    </row>
    <row r="12" ht="27.75" customHeight="1">
      <c r="A12" s="5" t="s">
        <v>31</v>
      </c>
      <c r="B12" s="5" t="s">
        <v>27</v>
      </c>
      <c r="C12" s="5" t="s">
        <v>32</v>
      </c>
      <c r="D12" s="6"/>
      <c r="E12" s="6"/>
      <c r="F12" s="6"/>
      <c r="G12" s="6" t="s">
        <v>16</v>
      </c>
      <c r="H12" s="11">
        <v>0.0</v>
      </c>
      <c r="I12" s="6"/>
      <c r="J12" s="9" t="str">
        <f t="shared" si="2"/>
        <v/>
      </c>
      <c r="K12" s="5"/>
      <c r="L12" s="10" t="str">
        <f t="shared" ref="L12:AP12" si="9">IF(AND(L$4&gt;=$I12,L$4&lt;=$J12),"■","")</f>
        <v>■</v>
      </c>
      <c r="M12" s="10" t="str">
        <f t="shared" si="9"/>
        <v>■</v>
      </c>
      <c r="N12" s="10" t="str">
        <f t="shared" si="9"/>
        <v>■</v>
      </c>
      <c r="O12" s="10" t="str">
        <f t="shared" si="9"/>
        <v>■</v>
      </c>
      <c r="P12" s="10" t="str">
        <f t="shared" si="9"/>
        <v>■</v>
      </c>
      <c r="Q12" s="10" t="str">
        <f t="shared" si="9"/>
        <v>■</v>
      </c>
      <c r="R12" s="10" t="str">
        <f t="shared" si="9"/>
        <v>■</v>
      </c>
      <c r="S12" s="10" t="str">
        <f t="shared" si="9"/>
        <v>■</v>
      </c>
      <c r="T12" s="10" t="str">
        <f t="shared" si="9"/>
        <v>■</v>
      </c>
      <c r="U12" s="10" t="str">
        <f t="shared" si="9"/>
        <v>■</v>
      </c>
      <c r="V12" s="10" t="str">
        <f t="shared" si="9"/>
        <v>■</v>
      </c>
      <c r="W12" s="10" t="str">
        <f t="shared" si="9"/>
        <v>■</v>
      </c>
      <c r="X12" s="10" t="str">
        <f t="shared" si="9"/>
        <v>■</v>
      </c>
      <c r="Y12" s="10" t="str">
        <f t="shared" si="9"/>
        <v>■</v>
      </c>
      <c r="Z12" s="10" t="str">
        <f t="shared" si="9"/>
        <v>■</v>
      </c>
      <c r="AA12" s="10" t="str">
        <f t="shared" si="9"/>
        <v>■</v>
      </c>
      <c r="AB12" s="10" t="str">
        <f t="shared" si="9"/>
        <v>■</v>
      </c>
      <c r="AC12" s="10" t="str">
        <f t="shared" si="9"/>
        <v>■</v>
      </c>
      <c r="AD12" s="10" t="str">
        <f t="shared" si="9"/>
        <v>■</v>
      </c>
      <c r="AE12" s="10" t="str">
        <f t="shared" si="9"/>
        <v>■</v>
      </c>
      <c r="AF12" s="10" t="str">
        <f t="shared" si="9"/>
        <v>■</v>
      </c>
      <c r="AG12" s="10" t="str">
        <f t="shared" si="9"/>
        <v>■</v>
      </c>
      <c r="AH12" s="10" t="str">
        <f t="shared" si="9"/>
        <v>■</v>
      </c>
      <c r="AI12" s="10" t="str">
        <f t="shared" si="9"/>
        <v>■</v>
      </c>
      <c r="AJ12" s="10" t="str">
        <f t="shared" si="9"/>
        <v>■</v>
      </c>
      <c r="AK12" s="10" t="str">
        <f t="shared" si="9"/>
        <v>■</v>
      </c>
      <c r="AL12" s="10" t="str">
        <f t="shared" si="9"/>
        <v>■</v>
      </c>
      <c r="AM12" s="10" t="str">
        <f t="shared" si="9"/>
        <v>■</v>
      </c>
      <c r="AN12" s="10" t="str">
        <f t="shared" si="9"/>
        <v>■</v>
      </c>
      <c r="AO12" s="10" t="str">
        <f t="shared" si="9"/>
        <v>■</v>
      </c>
      <c r="AP12" s="10" t="str">
        <f t="shared" si="9"/>
        <v>■</v>
      </c>
    </row>
    <row r="13" ht="27.75" customHeight="1">
      <c r="A13" s="5" t="s">
        <v>33</v>
      </c>
      <c r="B13" s="5" t="s">
        <v>34</v>
      </c>
      <c r="C13" s="5" t="s">
        <v>35</v>
      </c>
      <c r="D13" s="6"/>
      <c r="E13" s="6"/>
      <c r="F13" s="6"/>
      <c r="G13" s="6" t="s">
        <v>16</v>
      </c>
      <c r="H13" s="11">
        <v>0.0</v>
      </c>
      <c r="I13" s="6"/>
      <c r="J13" s="9" t="str">
        <f t="shared" si="2"/>
        <v/>
      </c>
      <c r="K13" s="5"/>
      <c r="L13" s="10" t="str">
        <f t="shared" ref="L13:AP13" si="10">IF(AND(L$4&gt;=$I13,L$4&lt;=$J13),"■","")</f>
        <v>■</v>
      </c>
      <c r="M13" s="10" t="str">
        <f t="shared" si="10"/>
        <v>■</v>
      </c>
      <c r="N13" s="10" t="str">
        <f t="shared" si="10"/>
        <v>■</v>
      </c>
      <c r="O13" s="10" t="str">
        <f t="shared" si="10"/>
        <v>■</v>
      </c>
      <c r="P13" s="10" t="str">
        <f t="shared" si="10"/>
        <v>■</v>
      </c>
      <c r="Q13" s="10" t="str">
        <f t="shared" si="10"/>
        <v>■</v>
      </c>
      <c r="R13" s="10" t="str">
        <f t="shared" si="10"/>
        <v>■</v>
      </c>
      <c r="S13" s="10" t="str">
        <f t="shared" si="10"/>
        <v>■</v>
      </c>
      <c r="T13" s="10" t="str">
        <f t="shared" si="10"/>
        <v>■</v>
      </c>
      <c r="U13" s="10" t="str">
        <f t="shared" si="10"/>
        <v>■</v>
      </c>
      <c r="V13" s="10" t="str">
        <f t="shared" si="10"/>
        <v>■</v>
      </c>
      <c r="W13" s="10" t="str">
        <f t="shared" si="10"/>
        <v>■</v>
      </c>
      <c r="X13" s="10" t="str">
        <f t="shared" si="10"/>
        <v>■</v>
      </c>
      <c r="Y13" s="10" t="str">
        <f t="shared" si="10"/>
        <v>■</v>
      </c>
      <c r="Z13" s="10" t="str">
        <f t="shared" si="10"/>
        <v>■</v>
      </c>
      <c r="AA13" s="10" t="str">
        <f t="shared" si="10"/>
        <v>■</v>
      </c>
      <c r="AB13" s="10" t="str">
        <f t="shared" si="10"/>
        <v>■</v>
      </c>
      <c r="AC13" s="10" t="str">
        <f t="shared" si="10"/>
        <v>■</v>
      </c>
      <c r="AD13" s="10" t="str">
        <f t="shared" si="10"/>
        <v>■</v>
      </c>
      <c r="AE13" s="10" t="str">
        <f t="shared" si="10"/>
        <v>■</v>
      </c>
      <c r="AF13" s="10" t="str">
        <f t="shared" si="10"/>
        <v>■</v>
      </c>
      <c r="AG13" s="10" t="str">
        <f t="shared" si="10"/>
        <v>■</v>
      </c>
      <c r="AH13" s="10" t="str">
        <f t="shared" si="10"/>
        <v>■</v>
      </c>
      <c r="AI13" s="10" t="str">
        <f t="shared" si="10"/>
        <v>■</v>
      </c>
      <c r="AJ13" s="10" t="str">
        <f t="shared" si="10"/>
        <v>■</v>
      </c>
      <c r="AK13" s="10" t="str">
        <f t="shared" si="10"/>
        <v>■</v>
      </c>
      <c r="AL13" s="10" t="str">
        <f t="shared" si="10"/>
        <v>■</v>
      </c>
      <c r="AM13" s="10" t="str">
        <f t="shared" si="10"/>
        <v>■</v>
      </c>
      <c r="AN13" s="10" t="str">
        <f t="shared" si="10"/>
        <v>■</v>
      </c>
      <c r="AO13" s="10" t="str">
        <f t="shared" si="10"/>
        <v>■</v>
      </c>
      <c r="AP13" s="10" t="str">
        <f t="shared" si="10"/>
        <v>■</v>
      </c>
    </row>
    <row r="14" ht="27.75" customHeight="1">
      <c r="A14" s="5" t="s">
        <v>36</v>
      </c>
      <c r="B14" s="5" t="s">
        <v>34</v>
      </c>
      <c r="C14" s="5" t="s">
        <v>37</v>
      </c>
      <c r="D14" s="6"/>
      <c r="E14" s="6"/>
      <c r="F14" s="6"/>
      <c r="G14" s="6" t="s">
        <v>16</v>
      </c>
      <c r="H14" s="11">
        <v>0.0</v>
      </c>
      <c r="I14" s="6"/>
      <c r="J14" s="9" t="str">
        <f t="shared" si="2"/>
        <v/>
      </c>
      <c r="K14" s="5"/>
      <c r="L14" s="10" t="str">
        <f t="shared" ref="L14:AP14" si="11">IF(AND(L$4&gt;=$I14,L$4&lt;=$J14),"■","")</f>
        <v>■</v>
      </c>
      <c r="M14" s="10" t="str">
        <f t="shared" si="11"/>
        <v>■</v>
      </c>
      <c r="N14" s="10" t="str">
        <f t="shared" si="11"/>
        <v>■</v>
      </c>
      <c r="O14" s="10" t="str">
        <f t="shared" si="11"/>
        <v>■</v>
      </c>
      <c r="P14" s="10" t="str">
        <f t="shared" si="11"/>
        <v>■</v>
      </c>
      <c r="Q14" s="10" t="str">
        <f t="shared" si="11"/>
        <v>■</v>
      </c>
      <c r="R14" s="10" t="str">
        <f t="shared" si="11"/>
        <v>■</v>
      </c>
      <c r="S14" s="10" t="str">
        <f t="shared" si="11"/>
        <v>■</v>
      </c>
      <c r="T14" s="10" t="str">
        <f t="shared" si="11"/>
        <v>■</v>
      </c>
      <c r="U14" s="10" t="str">
        <f t="shared" si="11"/>
        <v>■</v>
      </c>
      <c r="V14" s="10" t="str">
        <f t="shared" si="11"/>
        <v>■</v>
      </c>
      <c r="W14" s="10" t="str">
        <f t="shared" si="11"/>
        <v>■</v>
      </c>
      <c r="X14" s="10" t="str">
        <f t="shared" si="11"/>
        <v>■</v>
      </c>
      <c r="Y14" s="10" t="str">
        <f t="shared" si="11"/>
        <v>■</v>
      </c>
      <c r="Z14" s="10" t="str">
        <f t="shared" si="11"/>
        <v>■</v>
      </c>
      <c r="AA14" s="10" t="str">
        <f t="shared" si="11"/>
        <v>■</v>
      </c>
      <c r="AB14" s="10" t="str">
        <f t="shared" si="11"/>
        <v>■</v>
      </c>
      <c r="AC14" s="10" t="str">
        <f t="shared" si="11"/>
        <v>■</v>
      </c>
      <c r="AD14" s="10" t="str">
        <f t="shared" si="11"/>
        <v>■</v>
      </c>
      <c r="AE14" s="10" t="str">
        <f t="shared" si="11"/>
        <v>■</v>
      </c>
      <c r="AF14" s="10" t="str">
        <f t="shared" si="11"/>
        <v>■</v>
      </c>
      <c r="AG14" s="10" t="str">
        <f t="shared" si="11"/>
        <v>■</v>
      </c>
      <c r="AH14" s="10" t="str">
        <f t="shared" si="11"/>
        <v>■</v>
      </c>
      <c r="AI14" s="10" t="str">
        <f t="shared" si="11"/>
        <v>■</v>
      </c>
      <c r="AJ14" s="10" t="str">
        <f t="shared" si="11"/>
        <v>■</v>
      </c>
      <c r="AK14" s="10" t="str">
        <f t="shared" si="11"/>
        <v>■</v>
      </c>
      <c r="AL14" s="10" t="str">
        <f t="shared" si="11"/>
        <v>■</v>
      </c>
      <c r="AM14" s="10" t="str">
        <f t="shared" si="11"/>
        <v>■</v>
      </c>
      <c r="AN14" s="10" t="str">
        <f t="shared" si="11"/>
        <v>■</v>
      </c>
      <c r="AO14" s="10" t="str">
        <f t="shared" si="11"/>
        <v>■</v>
      </c>
      <c r="AP14" s="10" t="str">
        <f t="shared" si="11"/>
        <v>■</v>
      </c>
    </row>
    <row r="15" ht="27.75" customHeight="1">
      <c r="A15" s="5" t="s">
        <v>38</v>
      </c>
      <c r="B15" s="5" t="s">
        <v>39</v>
      </c>
      <c r="C15" s="5" t="s">
        <v>40</v>
      </c>
      <c r="D15" s="6"/>
      <c r="E15" s="6"/>
      <c r="F15" s="6"/>
      <c r="G15" s="6" t="s">
        <v>16</v>
      </c>
      <c r="H15" s="11">
        <v>0.0</v>
      </c>
      <c r="I15" s="6"/>
      <c r="J15" s="9" t="str">
        <f t="shared" si="2"/>
        <v/>
      </c>
      <c r="K15" s="5"/>
      <c r="L15" s="10" t="str">
        <f t="shared" ref="L15:AP15" si="12">IF(AND(L$4&gt;=$I15,L$4&lt;=$J15),"■","")</f>
        <v>■</v>
      </c>
      <c r="M15" s="10" t="str">
        <f t="shared" si="12"/>
        <v>■</v>
      </c>
      <c r="N15" s="10" t="str">
        <f t="shared" si="12"/>
        <v>■</v>
      </c>
      <c r="O15" s="10" t="str">
        <f t="shared" si="12"/>
        <v>■</v>
      </c>
      <c r="P15" s="10" t="str">
        <f t="shared" si="12"/>
        <v>■</v>
      </c>
      <c r="Q15" s="10" t="str">
        <f t="shared" si="12"/>
        <v>■</v>
      </c>
      <c r="R15" s="10" t="str">
        <f t="shared" si="12"/>
        <v>■</v>
      </c>
      <c r="S15" s="10" t="str">
        <f t="shared" si="12"/>
        <v>■</v>
      </c>
      <c r="T15" s="10" t="str">
        <f t="shared" si="12"/>
        <v>■</v>
      </c>
      <c r="U15" s="10" t="str">
        <f t="shared" si="12"/>
        <v>■</v>
      </c>
      <c r="V15" s="10" t="str">
        <f t="shared" si="12"/>
        <v>■</v>
      </c>
      <c r="W15" s="10" t="str">
        <f t="shared" si="12"/>
        <v>■</v>
      </c>
      <c r="X15" s="10" t="str">
        <f t="shared" si="12"/>
        <v>■</v>
      </c>
      <c r="Y15" s="10" t="str">
        <f t="shared" si="12"/>
        <v>■</v>
      </c>
      <c r="Z15" s="10" t="str">
        <f t="shared" si="12"/>
        <v>■</v>
      </c>
      <c r="AA15" s="10" t="str">
        <f t="shared" si="12"/>
        <v>■</v>
      </c>
      <c r="AB15" s="10" t="str">
        <f t="shared" si="12"/>
        <v>■</v>
      </c>
      <c r="AC15" s="10" t="str">
        <f t="shared" si="12"/>
        <v>■</v>
      </c>
      <c r="AD15" s="10" t="str">
        <f t="shared" si="12"/>
        <v>■</v>
      </c>
      <c r="AE15" s="10" t="str">
        <f t="shared" si="12"/>
        <v>■</v>
      </c>
      <c r="AF15" s="10" t="str">
        <f t="shared" si="12"/>
        <v>■</v>
      </c>
      <c r="AG15" s="10" t="str">
        <f t="shared" si="12"/>
        <v>■</v>
      </c>
      <c r="AH15" s="10" t="str">
        <f t="shared" si="12"/>
        <v>■</v>
      </c>
      <c r="AI15" s="10" t="str">
        <f t="shared" si="12"/>
        <v>■</v>
      </c>
      <c r="AJ15" s="10" t="str">
        <f t="shared" si="12"/>
        <v>■</v>
      </c>
      <c r="AK15" s="10" t="str">
        <f t="shared" si="12"/>
        <v>■</v>
      </c>
      <c r="AL15" s="10" t="str">
        <f t="shared" si="12"/>
        <v>■</v>
      </c>
      <c r="AM15" s="10" t="str">
        <f t="shared" si="12"/>
        <v>■</v>
      </c>
      <c r="AN15" s="10" t="str">
        <f t="shared" si="12"/>
        <v>■</v>
      </c>
      <c r="AO15" s="10" t="str">
        <f t="shared" si="12"/>
        <v>■</v>
      </c>
      <c r="AP15" s="10" t="str">
        <f t="shared" si="12"/>
        <v>■</v>
      </c>
    </row>
    <row r="16" ht="27.75" customHeight="1">
      <c r="A16" s="5" t="s">
        <v>41</v>
      </c>
      <c r="B16" s="5" t="s">
        <v>42</v>
      </c>
      <c r="C16" s="5" t="s">
        <v>43</v>
      </c>
      <c r="D16" s="6"/>
      <c r="E16" s="6"/>
      <c r="F16" s="6"/>
      <c r="G16" s="6" t="s">
        <v>16</v>
      </c>
      <c r="H16" s="11">
        <v>0.0</v>
      </c>
      <c r="I16" s="6"/>
      <c r="J16" s="9" t="str">
        <f t="shared" si="2"/>
        <v/>
      </c>
      <c r="K16" s="5"/>
      <c r="L16" s="10" t="str">
        <f t="shared" ref="L16:AP16" si="13">IF(AND(L$4&gt;=$I16,L$4&lt;=$J16),"■","")</f>
        <v>■</v>
      </c>
      <c r="M16" s="10" t="str">
        <f t="shared" si="13"/>
        <v>■</v>
      </c>
      <c r="N16" s="10" t="str">
        <f t="shared" si="13"/>
        <v>■</v>
      </c>
      <c r="O16" s="10" t="str">
        <f t="shared" si="13"/>
        <v>■</v>
      </c>
      <c r="P16" s="10" t="str">
        <f t="shared" si="13"/>
        <v>■</v>
      </c>
      <c r="Q16" s="10" t="str">
        <f t="shared" si="13"/>
        <v>■</v>
      </c>
      <c r="R16" s="10" t="str">
        <f t="shared" si="13"/>
        <v>■</v>
      </c>
      <c r="S16" s="10" t="str">
        <f t="shared" si="13"/>
        <v>■</v>
      </c>
      <c r="T16" s="10" t="str">
        <f t="shared" si="13"/>
        <v>■</v>
      </c>
      <c r="U16" s="10" t="str">
        <f t="shared" si="13"/>
        <v>■</v>
      </c>
      <c r="V16" s="10" t="str">
        <f t="shared" si="13"/>
        <v>■</v>
      </c>
      <c r="W16" s="10" t="str">
        <f t="shared" si="13"/>
        <v>■</v>
      </c>
      <c r="X16" s="10" t="str">
        <f t="shared" si="13"/>
        <v>■</v>
      </c>
      <c r="Y16" s="10" t="str">
        <f t="shared" si="13"/>
        <v>■</v>
      </c>
      <c r="Z16" s="10" t="str">
        <f t="shared" si="13"/>
        <v>■</v>
      </c>
      <c r="AA16" s="10" t="str">
        <f t="shared" si="13"/>
        <v>■</v>
      </c>
      <c r="AB16" s="10" t="str">
        <f t="shared" si="13"/>
        <v>■</v>
      </c>
      <c r="AC16" s="10" t="str">
        <f t="shared" si="13"/>
        <v>■</v>
      </c>
      <c r="AD16" s="10" t="str">
        <f t="shared" si="13"/>
        <v>■</v>
      </c>
      <c r="AE16" s="10" t="str">
        <f t="shared" si="13"/>
        <v>■</v>
      </c>
      <c r="AF16" s="10" t="str">
        <f t="shared" si="13"/>
        <v>■</v>
      </c>
      <c r="AG16" s="10" t="str">
        <f t="shared" si="13"/>
        <v>■</v>
      </c>
      <c r="AH16" s="10" t="str">
        <f t="shared" si="13"/>
        <v>■</v>
      </c>
      <c r="AI16" s="10" t="str">
        <f t="shared" si="13"/>
        <v>■</v>
      </c>
      <c r="AJ16" s="10" t="str">
        <f t="shared" si="13"/>
        <v>■</v>
      </c>
      <c r="AK16" s="10" t="str">
        <f t="shared" si="13"/>
        <v>■</v>
      </c>
      <c r="AL16" s="10" t="str">
        <f t="shared" si="13"/>
        <v>■</v>
      </c>
      <c r="AM16" s="10" t="str">
        <f t="shared" si="13"/>
        <v>■</v>
      </c>
      <c r="AN16" s="10" t="str">
        <f t="shared" si="13"/>
        <v>■</v>
      </c>
      <c r="AO16" s="10" t="str">
        <f t="shared" si="13"/>
        <v>■</v>
      </c>
      <c r="AP16" s="10" t="str">
        <f t="shared" si="13"/>
        <v>■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>
      <c r="A18" s="12" t="s">
        <v>44</v>
      </c>
      <c r="B18" s="13"/>
      <c r="C18" s="13"/>
      <c r="D18" s="13"/>
      <c r="E18" s="13"/>
      <c r="F18" s="13"/>
      <c r="G18" s="13"/>
      <c r="H18" s="13"/>
      <c r="I18" s="13"/>
      <c r="J18" s="13"/>
      <c r="K18" s="1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P2"/>
    <mergeCell ref="A3:K3"/>
    <mergeCell ref="A18:K18"/>
  </mergeCells>
  <conditionalFormatting sqref="G5:G16">
    <cfRule type="containsText" dxfId="0" priority="1" operator="containsText" text="Terminé">
      <formula>NOT(ISERROR(SEARCH(("Terminé"),(G5))))</formula>
    </cfRule>
  </conditionalFormatting>
  <conditionalFormatting sqref="G5:G16">
    <cfRule type="containsText" dxfId="1" priority="2" operator="containsText" text="Bloqué">
      <formula>NOT(ISERROR(SEARCH(("Bloqué"),(G5))))</formula>
    </cfRule>
  </conditionalFormatting>
  <conditionalFormatting sqref="G5:G16">
    <cfRule type="containsText" dxfId="2" priority="3" operator="containsText" text="En cours">
      <formula>NOT(ISERROR(SEARCH(("En cours"),(G5))))</formula>
    </cfRule>
  </conditionalFormatting>
  <conditionalFormatting sqref="L5:AP16">
    <cfRule type="containsText" dxfId="3" priority="4" operator="containsText" text="■">
      <formula>NOT(ISERROR(SEARCH(("■"),(L5))))</formula>
    </cfRule>
  </conditionalFormatting>
  <dataValidations>
    <dataValidation type="decimal" allowBlank="1" sqref="I5:I16">
      <formula1>1.0</formula1>
      <formula2>31.0</formula2>
    </dataValidation>
    <dataValidation type="decimal" allowBlank="1" sqref="E5:E16">
      <formula1>1.0</formula1>
      <formula2>10.0</formula2>
    </dataValidation>
    <dataValidation type="decimal" allowBlank="1" sqref="H5:H16">
      <formula1>0.0</formula1>
      <formula2>100.0</formula2>
    </dataValidation>
    <dataValidation type="list" allowBlank="1" sqref="G5:G16">
      <formula1>"À faire,En cours,Terminé,Bloqué"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28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5.0"/>
    <col customWidth="1" min="2" max="4" width="13.0"/>
    <col customWidth="1" min="5" max="6" width="28.0"/>
    <col customWidth="1" min="7" max="7" width="20.0"/>
    <col customWidth="1" min="8" max="8" width="14.0"/>
    <col customWidth="1" min="9" max="26" width="8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45</v>
      </c>
    </row>
    <row r="3">
      <c r="A3" s="3" t="s">
        <v>46</v>
      </c>
    </row>
    <row r="4" ht="31.5" customHeight="1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</v>
      </c>
      <c r="H4" s="4" t="s">
        <v>8</v>
      </c>
    </row>
    <row r="5" ht="36.0" customHeight="1">
      <c r="A5" s="5" t="s">
        <v>53</v>
      </c>
      <c r="B5" s="6"/>
      <c r="C5" s="6"/>
      <c r="D5" s="9">
        <f t="shared" ref="D5:D10" si="1">B5*C5</f>
        <v>0</v>
      </c>
      <c r="E5" s="6"/>
      <c r="F5" s="6"/>
      <c r="G5" s="6"/>
      <c r="H5" s="6" t="s">
        <v>54</v>
      </c>
    </row>
    <row r="6" ht="36.0" customHeight="1">
      <c r="A6" s="5" t="s">
        <v>55</v>
      </c>
      <c r="B6" s="6">
        <v>3.0</v>
      </c>
      <c r="C6" s="6">
        <v>3.0</v>
      </c>
      <c r="D6" s="9">
        <f t="shared" si="1"/>
        <v>9</v>
      </c>
      <c r="E6" s="6"/>
      <c r="F6" s="6"/>
      <c r="G6" s="6"/>
      <c r="H6" s="6" t="s">
        <v>54</v>
      </c>
    </row>
    <row r="7" ht="36.0" customHeight="1">
      <c r="A7" s="5" t="s">
        <v>56</v>
      </c>
      <c r="B7" s="6"/>
      <c r="C7" s="6"/>
      <c r="D7" s="9">
        <f t="shared" si="1"/>
        <v>0</v>
      </c>
      <c r="E7" s="6"/>
      <c r="F7" s="6"/>
      <c r="G7" s="6"/>
      <c r="H7" s="6" t="s">
        <v>54</v>
      </c>
    </row>
    <row r="8" ht="36.0" customHeight="1">
      <c r="A8" s="5" t="s">
        <v>57</v>
      </c>
      <c r="B8" s="6"/>
      <c r="C8" s="6"/>
      <c r="D8" s="9">
        <f t="shared" si="1"/>
        <v>0</v>
      </c>
      <c r="E8" s="6"/>
      <c r="F8" s="6"/>
      <c r="G8" s="6"/>
      <c r="H8" s="6" t="s">
        <v>54</v>
      </c>
    </row>
    <row r="9" ht="36.0" customHeight="1">
      <c r="A9" s="5" t="s">
        <v>58</v>
      </c>
      <c r="B9" s="6"/>
      <c r="C9" s="6"/>
      <c r="D9" s="9">
        <f t="shared" si="1"/>
        <v>0</v>
      </c>
      <c r="E9" s="6"/>
      <c r="F9" s="6"/>
      <c r="G9" s="6"/>
      <c r="H9" s="6" t="s">
        <v>54</v>
      </c>
    </row>
    <row r="10" ht="36.0" customHeight="1">
      <c r="A10" s="5" t="s">
        <v>59</v>
      </c>
      <c r="B10" s="6"/>
      <c r="C10" s="6"/>
      <c r="D10" s="9">
        <f t="shared" si="1"/>
        <v>0</v>
      </c>
      <c r="E10" s="6"/>
      <c r="F10" s="6"/>
      <c r="G10" s="6"/>
      <c r="H10" s="6" t="s">
        <v>54</v>
      </c>
    </row>
    <row r="11">
      <c r="A11" s="1"/>
      <c r="B11" s="1"/>
      <c r="C11" s="1"/>
      <c r="D11" s="1"/>
      <c r="E11" s="1"/>
      <c r="F11" s="1"/>
      <c r="G11" s="1"/>
      <c r="H11" s="1"/>
    </row>
    <row r="12">
      <c r="A12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H2"/>
    <mergeCell ref="A3:H3"/>
    <mergeCell ref="A12:H12"/>
  </mergeCells>
  <conditionalFormatting sqref="D5:D10">
    <cfRule type="cellIs" dxfId="1" priority="1" operator="greaterThanOrEqual">
      <formula>9</formula>
    </cfRule>
  </conditionalFormatting>
  <conditionalFormatting sqref="D5:D10">
    <cfRule type="cellIs" dxfId="2" priority="2" operator="between">
      <formula>6</formula>
      <formula>8</formula>
    </cfRule>
  </conditionalFormatting>
  <dataValidations>
    <dataValidation type="list" allowBlank="1" sqref="H5:H10">
      <formula1>"Ouvert,Traité,Accepté"</formula1>
    </dataValidation>
    <dataValidation type="decimal" allowBlank="1" sqref="B5:C10">
      <formula1>1.0</formula1>
      <formula2>4.0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20.0"/>
    <col customWidth="1" min="3" max="3" width="4.0"/>
    <col customWidth="1" min="4" max="4" width="18.0"/>
    <col customWidth="1" min="5" max="5" width="28.0"/>
    <col customWidth="1" min="6" max="6" width="36.0"/>
    <col customWidth="1" min="7" max="26" width="8.63"/>
  </cols>
  <sheetData>
    <row r="1">
      <c r="A1" s="1"/>
      <c r="B1" s="1"/>
      <c r="C1" s="1"/>
      <c r="D1" s="1"/>
      <c r="E1" s="1"/>
      <c r="F1" s="1"/>
    </row>
    <row r="2">
      <c r="A2" s="2" t="s">
        <v>61</v>
      </c>
    </row>
    <row r="3">
      <c r="A3" s="1"/>
      <c r="B3" s="1"/>
      <c r="C3" s="1"/>
      <c r="D3" s="1"/>
      <c r="E3" s="1"/>
      <c r="F3" s="1"/>
    </row>
    <row r="4" ht="30.0" customHeight="1">
      <c r="A4" s="4" t="s">
        <v>62</v>
      </c>
      <c r="B4" s="4" t="s">
        <v>63</v>
      </c>
      <c r="C4" s="1"/>
      <c r="D4" s="4" t="s">
        <v>64</v>
      </c>
      <c r="E4" s="4" t="s">
        <v>65</v>
      </c>
      <c r="F4" s="4" t="s">
        <v>66</v>
      </c>
    </row>
    <row r="5" ht="27.75" customHeight="1">
      <c r="A5" s="5" t="s">
        <v>67</v>
      </c>
      <c r="B5" s="5">
        <f>COUNTA(Planning!A5:A16)</f>
        <v>12</v>
      </c>
      <c r="C5" s="1"/>
      <c r="D5" s="6" t="s">
        <v>68</v>
      </c>
      <c r="E5" s="6" t="s">
        <v>69</v>
      </c>
      <c r="F5" s="6"/>
    </row>
    <row r="6" ht="27.75" customHeight="1">
      <c r="A6" s="5" t="s">
        <v>70</v>
      </c>
      <c r="B6" s="5">
        <f>COUNTIF(Planning!G5:G16,"Terminé")</f>
        <v>0</v>
      </c>
      <c r="C6" s="1"/>
      <c r="D6" s="6" t="s">
        <v>71</v>
      </c>
      <c r="E6" s="6" t="s">
        <v>72</v>
      </c>
      <c r="F6" s="6"/>
    </row>
    <row r="7" ht="27.75" customHeight="1">
      <c r="A7" s="5" t="s">
        <v>73</v>
      </c>
      <c r="B7" s="15">
        <f>AVERAGE(Planning!H5:H16)/100</f>
        <v>0</v>
      </c>
      <c r="C7" s="1"/>
      <c r="D7" s="6" t="s">
        <v>74</v>
      </c>
      <c r="E7" s="6" t="s">
        <v>75</v>
      </c>
      <c r="F7" s="6"/>
    </row>
    <row r="8" ht="27.75" customHeight="1">
      <c r="A8" s="5" t="s">
        <v>76</v>
      </c>
      <c r="B8" s="5">
        <f>COUNTIF(Planning!G5:G16,"Bloqué")</f>
        <v>0</v>
      </c>
      <c r="C8" s="1"/>
      <c r="D8" s="6" t="s">
        <v>77</v>
      </c>
      <c r="E8" s="6" t="s">
        <v>78</v>
      </c>
      <c r="F8" s="6"/>
    </row>
    <row r="9" ht="27.75" customHeight="1">
      <c r="A9" s="5" t="s">
        <v>79</v>
      </c>
      <c r="B9" s="5">
        <f>COUNTIF(Risques!D5:D10,"&gt;=9")</f>
        <v>1</v>
      </c>
      <c r="C9" s="1"/>
      <c r="D9" s="1"/>
      <c r="E9" s="1"/>
      <c r="F9" s="1"/>
    </row>
    <row r="10" ht="27.75" customHeight="1">
      <c r="A10" s="5" t="s">
        <v>80</v>
      </c>
      <c r="B10" s="6" t="s">
        <v>81</v>
      </c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6" t="s">
        <v>82</v>
      </c>
      <c r="B12" s="13"/>
      <c r="C12" s="13"/>
      <c r="D12" s="13"/>
      <c r="E12" s="13"/>
      <c r="F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12:F12"/>
  </mergeCells>
  <conditionalFormatting sqref="D5:D8">
    <cfRule type="containsText" dxfId="0" priority="1" operator="containsText" text="Vert">
      <formula>NOT(ISERROR(SEARCH(("Vert"),(D5))))</formula>
    </cfRule>
  </conditionalFormatting>
  <conditionalFormatting sqref="D5:D8">
    <cfRule type="containsText" dxfId="2" priority="2" operator="containsText" text="Orange">
      <formula>NOT(ISERROR(SEARCH(("Orange"),(D5))))</formula>
    </cfRule>
  </conditionalFormatting>
  <conditionalFormatting sqref="D5:D8">
    <cfRule type="containsText" dxfId="1" priority="3" operator="containsText" text="Rouge">
      <formula>NOT(ISERROR(SEARCH(("Rouge"),(D5))))</formula>
    </cfRule>
  </conditionalFormatting>
  <dataValidations>
    <dataValidation type="list" allowBlank="1" sqref="D5:D8">
      <formula1>"Vert,Orange,Rouge"</formula1>
    </dataValidation>
  </dataValidations>
  <printOptions/>
  <pageMargins bottom="0.75" footer="0.0" header="0.0" left="0.7" right="0.7" top="0.75"/>
  <pageSetup orientation="landscape"/>
  <drawing r:id="rId1"/>
</worksheet>
</file>